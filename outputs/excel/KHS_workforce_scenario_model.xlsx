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cenarios" sheetId="2" state="visible" r:id="rId2"/>
    <sheet name="Inputs" sheetId="3" state="visible" r:id="rId3"/>
    <sheet name="Model" sheetId="4" state="visible" r:id="rId4"/>
    <sheet name="Summary" sheetId="5" state="visible" r:id="rId5"/>
    <sheet name="Sensitivity" sheetId="6" state="visible" r:id="rId6"/>
    <sheet name="Evidence" sheetId="7" state="visible" r:id="rId7"/>
    <sheet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"/>
    <numFmt numFmtId="166" formatCode="0.0%"/>
    <numFmt numFmtId="167" formatCode="#,##0.0"/>
    <numFmt numFmtId="168" formatCode="0.0000"/>
    <numFmt numFmtId="169" formatCode="0.0000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1F4E9E"/>
    </font>
    <font>
      <b val="1"/>
      <color rgb="00FFFFFF"/>
    </font>
    <font>
      <color rgb="001F4E9E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4" fillId="6" borderId="0" pivotButton="0" quotePrefix="0" xfId="0"/>
    <xf numFmtId="164" fontId="5" fillId="5" borderId="0" pivotButton="0" quotePrefix="0" xfId="0"/>
    <xf numFmtId="164" fontId="1" fillId="0" borderId="0" pivotButton="0" quotePrefix="0" xfId="0"/>
    <xf numFmtId="0" fontId="4" fillId="6" borderId="0" applyAlignment="1" pivotButton="0" quotePrefix="0" xfId="0">
      <alignment vertical="top" wrapText="1"/>
    </xf>
    <xf numFmtId="165" fontId="5" fillId="5" borderId="0" pivotButton="0" quotePrefix="0" xfId="0"/>
    <xf numFmtId="10" fontId="5" fillId="5" borderId="0" pivotButton="0" quotePrefix="0" xfId="0"/>
    <xf numFmtId="166" fontId="5" fillId="5" borderId="0" pivotButton="0" quotePrefix="0" xfId="0"/>
    <xf numFmtId="3" fontId="5" fillId="5" borderId="0" pivotButton="0" quotePrefix="0" xfId="0"/>
    <xf numFmtId="2" fontId="5" fillId="5" borderId="0" pivotButton="0" quotePrefix="0" xfId="0"/>
    <xf numFmtId="167" fontId="0" fillId="0" borderId="1" pivotButton="0" quotePrefix="0" xfId="0"/>
    <xf numFmtId="10" fontId="0" fillId="0" borderId="1" pivotButton="0" quotePrefix="0" xfId="0"/>
    <xf numFmtId="166" fontId="0" fillId="0" borderId="1" pivotButton="0" quotePrefix="0" xfId="0"/>
    <xf numFmtId="168" fontId="0" fillId="0" borderId="1" pivotButton="0" quotePrefix="0" xfId="0"/>
    <xf numFmtId="3" fontId="0" fillId="0" borderId="1" pivotButton="0" quotePrefix="0" xfId="0"/>
    <xf numFmtId="169" fontId="0" fillId="0" borderId="1" pivotButton="0" quotePrefix="0" xfId="0"/>
    <xf numFmtId="167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Kestrel Health Services - 3-year workforce scenario model (FY2027-FY2029)</t>
        </is>
      </c>
    </row>
    <row r="2">
      <c r="A2" s="2" t="inlineStr">
        <is>
          <t>FICTIONAL ORGANISATION. Internal workforce figures are SYNTHETIC; labour-market inputs are REAL public data.</t>
        </is>
      </c>
    </row>
    <row r="3">
      <c r="A3" t="inlineStr"/>
    </row>
    <row r="4">
      <c r="A4" s="1" t="inlineStr">
        <is>
          <t>How to use</t>
        </is>
      </c>
    </row>
    <row r="5">
      <c r="A5" t="inlineStr">
        <is>
          <t>1. Choose a scenario in Scenarios!C3 (A Baseline / B Growth / C Constraint).</t>
        </is>
      </c>
    </row>
    <row r="6">
      <c r="A6" t="inlineStr">
        <is>
          <t>2. Edit yellow cells (inputs) on 'Scenarios' and 'Inputs'. Every other number is a formula.</t>
        </is>
      </c>
    </row>
    <row r="7">
      <c r="A7" t="inlineStr">
        <is>
          <t>3. Results: 'Model' (family x year detail) and 'Summary' (totals and checks).</t>
        </is>
      </c>
    </row>
    <row r="8">
      <c r="A8" t="inlineStr"/>
    </row>
    <row r="9">
      <c r="A9" s="1" t="inlineStr">
        <is>
          <t>Stock-and-flow identity</t>
        </is>
      </c>
    </row>
    <row r="10">
      <c r="A10" t="inlineStr">
        <is>
          <t>HC end = HC start + Hires + Graduates + EN-&gt;RN in + Net transfers - Separations - EN-&gt;RN out</t>
        </is>
      </c>
    </row>
    <row r="11">
      <c r="A11" t="inlineStr">
        <is>
          <t>Required hires = MAX(0, (Demand FTE - HC pre-hire x FTE per head) / FTE per head);  Hires = MIN(Required, Capacity)</t>
        </is>
      </c>
    </row>
    <row r="12">
      <c r="A12" t="inlineStr">
        <is>
          <t>Gap FTE = Demand FTE - Supply FTE (positive = shortage). Agency covers a measured share of the shortage.</t>
        </is>
      </c>
    </row>
    <row r="13">
      <c r="A13" t="inlineStr"/>
    </row>
    <row r="14">
      <c r="A14" s="1" t="inlineStr">
        <is>
          <t>Provenance colours</t>
        </is>
      </c>
    </row>
    <row r="15">
      <c r="A15" s="3" t="inlineStr">
        <is>
          <t>Green = real public data (ABS / JSA)</t>
        </is>
      </c>
    </row>
    <row r="16">
      <c r="A16" s="4" t="inlineStr">
        <is>
          <t>Orange = synthetic internal data (measured from the simulated HRIS/ATS/payroll)</t>
        </is>
      </c>
    </row>
    <row r="17">
      <c r="A17" s="5" t="inlineStr">
        <is>
          <t>Grey = illustrative assumption - replace with organisation evidence</t>
        </is>
      </c>
    </row>
    <row r="18">
      <c r="A18" t="inlineStr"/>
    </row>
    <row r="19">
      <c r="A19" t="inlineStr">
        <is>
          <t>Validation: the Python engine (src/scenario_model.py, family_inputs) reproduces every Model cell; see 'Checks'.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4" customWidth="1" min="4" max="4"/>
    <col width="12" customWidth="1" min="5" max="5"/>
    <col width="14" customWidth="1" min="6" max="6"/>
    <col width="70" customWidth="1" min="7" max="7"/>
  </cols>
  <sheetData>
    <row r="1">
      <c r="A1" s="1" t="inlineStr">
        <is>
          <t>Scenario parameters</t>
        </is>
      </c>
    </row>
    <row r="3">
      <c r="B3" s="1" t="inlineStr">
        <is>
          <t>Selected scenario:</t>
        </is>
      </c>
      <c r="C3" s="6" t="inlineStr">
        <is>
          <t>A Baseline</t>
        </is>
      </c>
    </row>
    <row r="5">
      <c r="A5" s="7" t="inlineStr">
        <is>
          <t>Parameter</t>
        </is>
      </c>
      <c r="B5" s="7" t="inlineStr">
        <is>
          <t>A Baseline</t>
        </is>
      </c>
      <c r="C5" s="7" t="inlineStr">
        <is>
          <t>B Growth</t>
        </is>
      </c>
      <c r="D5" s="7" t="inlineStr">
        <is>
          <t>C Constraint</t>
        </is>
      </c>
      <c r="E5" s="7" t="inlineStr">
        <is>
          <t>ACTIVE</t>
        </is>
      </c>
      <c r="F5" s="7" t="inlineStr">
        <is>
          <t>Provenance</t>
        </is>
      </c>
      <c r="G5" s="7" t="inlineStr">
        <is>
          <t>Evidence</t>
        </is>
      </c>
    </row>
    <row r="6">
      <c r="A6" t="inlineStr">
        <is>
          <t>Demand growth add-on: clinical (pp)</t>
        </is>
      </c>
      <c r="B6" s="8" t="n">
        <v>0</v>
      </c>
      <c r="C6" s="8" t="n">
        <v>0.02</v>
      </c>
      <c r="D6" s="8" t="n">
        <v>0</v>
      </c>
      <c r="E6" s="9">
        <f>INDEX(B6:D6,MATCH($C$3,$B$5:$D$5,0))</f>
        <v/>
      </c>
      <c r="F6" s="5" t="inlineStr">
        <is>
          <t>ILLUSTRATIVE</t>
        </is>
      </c>
      <c r="G6" t="inlineStr">
        <is>
          <t>Growth: service expansion, bounded by ABS HCSA filled jobs 5-yr CAGR</t>
        </is>
      </c>
    </row>
    <row r="7">
      <c r="A7" t="inlineStr">
        <is>
          <t>Demand growth add-on: non-clinical (pp)</t>
        </is>
      </c>
      <c r="B7" s="8" t="n">
        <v>0</v>
      </c>
      <c r="C7" s="8" t="n">
        <v>0.005</v>
      </c>
      <c r="D7" s="8" t="n">
        <v>0</v>
      </c>
      <c r="E7" s="9">
        <f>INDEX(B7:D7,MATCH($C$3,$B$5:$D$5,0))</f>
        <v/>
      </c>
      <c r="F7" s="5" t="inlineStr">
        <is>
          <t>ILLUSTRATIVE</t>
        </is>
      </c>
      <c r="G7" t="inlineStr">
        <is>
          <t>Growth scenario only</t>
        </is>
      </c>
    </row>
    <row r="8">
      <c r="A8" t="inlineStr">
        <is>
          <t>Attrition multiplier</t>
        </is>
      </c>
      <c r="B8" s="8" t="n">
        <v>1</v>
      </c>
      <c r="C8" s="8" t="n">
        <v>1</v>
      </c>
      <c r="D8" s="8" t="n">
        <v>1.224</v>
      </c>
      <c r="E8" s="9">
        <f>INDEX(B8:D8,MATCH($C$3,$B$5:$D$5,0))</f>
        <v/>
      </c>
      <c r="F8" s="4" t="inlineStr">
        <is>
          <t>SYNTHETIC</t>
        </is>
      </c>
      <c r="G8" t="inlineStr">
        <is>
          <t>Constraint = KHS FY2023/FY2026 turnover ratio</t>
        </is>
      </c>
    </row>
    <row r="9">
      <c r="A9" t="inlineStr">
        <is>
          <t>Capacity multiplier: OSL shortage occupations</t>
        </is>
      </c>
      <c r="B9" s="8" t="n">
        <v>1</v>
      </c>
      <c r="C9" s="8" t="n">
        <v>1</v>
      </c>
      <c r="D9" s="8" t="n">
        <v>0.731</v>
      </c>
      <c r="E9" s="9">
        <f>INDEX(B9:D9,MATCH($C$3,$B$5:$D$5,0))</f>
        <v/>
      </c>
      <c r="F9" s="3" t="inlineStr">
        <is>
          <t>REAL</t>
        </is>
      </c>
      <c r="G9" t="inlineStr">
        <is>
          <t>Constraint = JSA OSL 2026 fill rate shortage/no-shortage (57%/78%)</t>
        </is>
      </c>
    </row>
    <row r="10">
      <c r="A10" t="inlineStr">
        <is>
          <t>Graduate intake multiplier</t>
        </is>
      </c>
      <c r="B10" s="8" t="n">
        <v>1</v>
      </c>
      <c r="C10" s="8" t="n">
        <v>1</v>
      </c>
      <c r="D10" s="8" t="n">
        <v>0.75</v>
      </c>
      <c r="E10" s="9">
        <f>INDEX(B10:D10,MATCH($C$3,$B$5:$D$5,0))</f>
        <v/>
      </c>
      <c r="F10" s="5" t="inlineStr">
        <is>
          <t>ILLUSTRATIVE</t>
        </is>
      </c>
      <c r="G10" t="inlineStr">
        <is>
          <t>Constraint: fewer graduate placements</t>
        </is>
      </c>
    </row>
    <row r="11">
      <c r="A11" t="inlineStr">
        <is>
          <t>Wage growth p.a.</t>
        </is>
      </c>
      <c r="B11" s="8" t="n">
        <v>0.0371</v>
      </c>
      <c r="C11" s="8" t="n">
        <v>0.0371</v>
      </c>
      <c r="D11" s="8" t="n">
        <v>0.0471</v>
      </c>
      <c r="E11" s="9">
        <f>INDEX(B11:D11,MATCH($C$3,$B$5:$D$5,0))</f>
        <v/>
      </c>
      <c r="F11" s="3" t="inlineStr">
        <is>
          <t>REAL</t>
        </is>
      </c>
      <c r="G11" t="inlineStr">
        <is>
          <t>ABS WPI HCSA avg YoY last 8 quarters; Constraint +1pp (illustrative)</t>
        </is>
      </c>
    </row>
    <row r="12">
      <c r="A12" t="inlineStr">
        <is>
          <t>Agency premium (x employee cost)</t>
        </is>
      </c>
      <c r="B12" s="8" t="n">
        <v>1.65</v>
      </c>
      <c r="C12" s="8" t="n">
        <v>1.65</v>
      </c>
      <c r="D12" s="8" t="n">
        <v>1.65</v>
      </c>
      <c r="E12" s="9">
        <f>INDEX(B12:D12,MATCH($C$3,$B$5:$D$5,0))</f>
        <v/>
      </c>
      <c r="F12" s="5" t="inlineStr">
        <is>
          <t>ILLUSTRATIVE</t>
        </is>
      </c>
      <c r="G12" t="inlineStr">
        <is>
          <t>Assumed</t>
        </is>
      </c>
    </row>
    <row r="13">
      <c r="A13" t="inlineStr">
        <is>
          <t>EN-&gt;RN conversion rate p.a.</t>
        </is>
      </c>
      <c r="B13" s="8" t="n">
        <v>0.05513784461152882</v>
      </c>
      <c r="C13" s="8" t="n">
        <v>0.05513784461152882</v>
      </c>
      <c r="D13" s="8" t="n">
        <v>0.05513784461152882</v>
      </c>
      <c r="E13" s="9">
        <f>INDEX(B13:D13,MATCH($C$3,$B$5:$D$5,0))</f>
        <v/>
      </c>
      <c r="F13" s="4" t="inlineStr">
        <is>
          <t>SYNTHETIC</t>
        </is>
      </c>
      <c r="G13" t="inlineStr">
        <is>
          <t>KHS role-change history</t>
        </is>
      </c>
    </row>
    <row r="14">
      <c r="A14" t="inlineStr">
        <is>
          <t>Graduate RNs per year</t>
        </is>
      </c>
      <c r="B14" s="8" t="n">
        <v>16</v>
      </c>
      <c r="C14" s="8" t="n">
        <v>16</v>
      </c>
      <c r="D14" s="8" t="n">
        <v>16</v>
      </c>
      <c r="E14" s="9">
        <f>INDEX(B14:D14,MATCH($C$3,$B$5:$D$5,0))</f>
        <v/>
      </c>
      <c r="F14" s="4" t="inlineStr">
        <is>
          <t>SYNTHETIC</t>
        </is>
      </c>
      <c r="G14" t="inlineStr">
        <is>
          <t>KHS average FY2023-26</t>
        </is>
      </c>
    </row>
    <row r="15">
      <c r="A15" t="inlineStr">
        <is>
          <t>On-cost factor</t>
        </is>
      </c>
      <c r="B15" s="8" t="n">
        <v>1.25</v>
      </c>
      <c r="C15" s="8" t="n">
        <v>1.25</v>
      </c>
      <c r="D15" s="8" t="n">
        <v>1.25</v>
      </c>
      <c r="E15" s="9">
        <f>INDEX(B15:D15,MATCH($C$3,$B$5:$D$5,0))</f>
        <v/>
      </c>
      <c r="F15" s="5" t="inlineStr">
        <is>
          <t>ILLUSTRATIVE</t>
        </is>
      </c>
      <c r="G15" t="inlineStr">
        <is>
          <t>12% super guarantee (legislated) + other on-costs (assumed)</t>
        </is>
      </c>
    </row>
  </sheetData>
  <dataValidations count="1">
    <dataValidation sqref="C3" showDropDown="0" showInputMessage="0" showErrorMessage="0" allowBlank="0" type="list">
      <formula1>"A Baseline,B Growth,C Constraint"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45" customHeight="1">
      <c r="A1" s="10" t="inlineStr">
        <is>
          <t>Job family</t>
        </is>
      </c>
      <c r="B1" s="10" t="inlineStr">
        <is>
          <t>Headcount 30 Jun 2026</t>
        </is>
      </c>
      <c r="C1" s="10" t="inlineStr">
        <is>
          <t>FTE per head</t>
        </is>
      </c>
      <c r="D1" s="10" t="inlineStr">
        <is>
          <t>Demand FTE FY2026 (establishment)</t>
        </is>
      </c>
      <c r="E1" s="10" t="inlineStr">
        <is>
          <t>Base demand growth p.a.</t>
        </is>
      </c>
      <c r="F1" s="10" t="inlineStr">
        <is>
          <t>Clinical? (1/0)</t>
        </is>
      </c>
      <c r="G1" s="10" t="inlineStr">
        <is>
          <t>Attrition rate p.a.</t>
        </is>
      </c>
      <c r="H1" s="10" t="inlineStr">
        <is>
          <t>Recruitment capacity (hires/yr)</t>
        </is>
      </c>
      <c r="I1" s="10" t="inlineStr">
        <is>
          <t>OSL shortage occupation (1/0)</t>
        </is>
      </c>
      <c r="J1" s="10" t="inlineStr">
        <is>
          <t>Graduate share</t>
        </is>
      </c>
      <c r="K1" s="10" t="inlineStr">
        <is>
          <t>Net internal transfers p.a.</t>
        </is>
      </c>
      <c r="L1" s="10" t="inlineStr">
        <is>
          <t>Base salary per FTE ($)</t>
        </is>
      </c>
      <c r="M1" s="10" t="inlineStr">
        <is>
          <t>Agency cover of shortage</t>
        </is>
      </c>
      <c r="N1" s="10" t="inlineStr">
        <is>
          <t>Cost per hire ($)</t>
        </is>
      </c>
    </row>
    <row r="2">
      <c r="A2" t="inlineStr">
        <is>
          <t>Provenance -&gt;</t>
        </is>
      </c>
      <c r="B2" s="4" t="inlineStr">
        <is>
          <t>SYNTHETIC</t>
        </is>
      </c>
      <c r="C2" s="4" t="inlineStr">
        <is>
          <t>SYNTHETIC</t>
        </is>
      </c>
      <c r="D2" s="4" t="inlineStr">
        <is>
          <t>SYNTHETIC</t>
        </is>
      </c>
      <c r="E2" s="3" t="inlineStr">
        <is>
          <t>REAL</t>
        </is>
      </c>
      <c r="G2" s="4" t="inlineStr">
        <is>
          <t>SYNTHETIC</t>
        </is>
      </c>
      <c r="H2" s="4" t="inlineStr">
        <is>
          <t>SYNTHETIC</t>
        </is>
      </c>
      <c r="I2" s="3" t="inlineStr">
        <is>
          <t>REAL</t>
        </is>
      </c>
      <c r="J2" s="4" t="inlineStr">
        <is>
          <t>SYNTHETIC</t>
        </is>
      </c>
      <c r="K2" s="4" t="inlineStr">
        <is>
          <t>SYNTHETIC</t>
        </is>
      </c>
      <c r="L2" s="4" t="inlineStr">
        <is>
          <t>SYNTHETIC</t>
        </is>
      </c>
      <c r="M2" s="4" t="inlineStr">
        <is>
          <t>SYNTHETIC</t>
        </is>
      </c>
      <c r="N2" s="5" t="inlineStr">
        <is>
          <t>ILLUSTRATIVE</t>
        </is>
      </c>
    </row>
    <row r="3">
      <c r="A3" t="inlineStr">
        <is>
          <t>Registered Nurse</t>
        </is>
      </c>
      <c r="B3" s="11" t="n">
        <v>686</v>
      </c>
      <c r="C3" s="8" t="n">
        <v>0.8225947521865891</v>
      </c>
      <c r="D3" s="11" t="n">
        <v>552.6999999999999</v>
      </c>
      <c r="E3" s="12" t="n">
        <v>0.02366107228761694</v>
      </c>
      <c r="F3" s="11" t="n">
        <v>1</v>
      </c>
      <c r="G3" s="13" t="n">
        <v>0.1105625204796056</v>
      </c>
      <c r="H3" s="11" t="n">
        <v>113</v>
      </c>
      <c r="I3" s="11" t="n">
        <v>1</v>
      </c>
      <c r="J3" s="11" t="n">
        <v>1</v>
      </c>
      <c r="K3" s="11" t="n">
        <v>0</v>
      </c>
      <c r="L3" s="14" t="n">
        <v>122229.0093921673</v>
      </c>
      <c r="M3" s="15" t="n">
        <v>0.551</v>
      </c>
      <c r="N3" s="14" t="n">
        <v>9469.026548672566</v>
      </c>
    </row>
    <row r="4">
      <c r="A4" t="inlineStr">
        <is>
          <t>Midwife</t>
        </is>
      </c>
      <c r="B4" s="11" t="n">
        <v>56</v>
      </c>
      <c r="C4" s="8" t="n">
        <v>0.8553571428571428</v>
      </c>
      <c r="D4" s="11" t="n">
        <v>47.9</v>
      </c>
      <c r="E4" s="12" t="n">
        <v>0.02426122534934505</v>
      </c>
      <c r="F4" s="11" t="n">
        <v>1</v>
      </c>
      <c r="G4" s="13" t="n">
        <v>0.08169664960526839</v>
      </c>
      <c r="H4" s="11" t="n">
        <v>11</v>
      </c>
      <c r="I4" s="11" t="n">
        <v>1</v>
      </c>
      <c r="J4" s="11" t="n">
        <v>0</v>
      </c>
      <c r="K4" s="11" t="n">
        <v>0</v>
      </c>
      <c r="L4" s="14" t="n">
        <v>123527.3486430063</v>
      </c>
      <c r="M4" s="15" t="n">
        <v>0.569</v>
      </c>
      <c r="N4" s="14" t="n">
        <v>10363.63636363636</v>
      </c>
    </row>
    <row r="5">
      <c r="A5" t="inlineStr">
        <is>
          <t>Enrolled Nurse</t>
        </is>
      </c>
      <c r="B5" s="11" t="n">
        <v>151</v>
      </c>
      <c r="C5" s="8" t="n">
        <v>0.7615894039735099</v>
      </c>
      <c r="D5" s="11" t="n">
        <v>125.8</v>
      </c>
      <c r="E5" s="12" t="n">
        <v>0.01976007738638419</v>
      </c>
      <c r="F5" s="11" t="n">
        <v>1</v>
      </c>
      <c r="G5" s="13" t="n">
        <v>0.1289731517746412</v>
      </c>
      <c r="H5" s="11" t="n">
        <v>56</v>
      </c>
      <c r="I5" s="11" t="n">
        <v>0</v>
      </c>
      <c r="J5" s="11" t="n">
        <v>0</v>
      </c>
      <c r="K5" s="11" t="n">
        <v>0</v>
      </c>
      <c r="L5" s="14" t="n">
        <v>89721.04347826086</v>
      </c>
      <c r="M5" s="15" t="n">
        <v>0.399</v>
      </c>
      <c r="N5" s="14" t="n">
        <v>9571.428571428571</v>
      </c>
    </row>
    <row r="6">
      <c r="A6" t="inlineStr">
        <is>
          <t>Medical Practitioner</t>
        </is>
      </c>
      <c r="B6" s="11" t="n">
        <v>136</v>
      </c>
      <c r="C6" s="8" t="n">
        <v>0.9044117647058824</v>
      </c>
      <c r="D6" s="11" t="n">
        <v>136.1</v>
      </c>
      <c r="E6" s="12" t="n">
        <v>0.02916247535345806</v>
      </c>
      <c r="F6" s="11" t="n">
        <v>1</v>
      </c>
      <c r="G6" s="13" t="n">
        <v>0.1164391930960292</v>
      </c>
      <c r="H6" s="11" t="n">
        <v>23</v>
      </c>
      <c r="I6" s="11" t="n">
        <v>1</v>
      </c>
      <c r="J6" s="11" t="n">
        <v>0</v>
      </c>
      <c r="K6" s="11" t="n">
        <v>0</v>
      </c>
      <c r="L6" s="14" t="n">
        <v>270965.7723577236</v>
      </c>
      <c r="M6" s="15" t="n">
        <v>0.627</v>
      </c>
      <c r="N6" s="14" t="n">
        <v>8782.608695652174</v>
      </c>
    </row>
    <row r="7">
      <c r="A7" t="inlineStr">
        <is>
          <t>Allied Health</t>
        </is>
      </c>
      <c r="B7" s="11" t="n">
        <v>169</v>
      </c>
      <c r="C7" s="8" t="n">
        <v>0.8585798816568047</v>
      </c>
      <c r="D7" s="11" t="n">
        <v>155.3</v>
      </c>
      <c r="E7" s="12" t="n">
        <v>0.03026275596662642</v>
      </c>
      <c r="F7" s="11" t="n">
        <v>1</v>
      </c>
      <c r="G7" s="13" t="n">
        <v>0.124955939283484</v>
      </c>
      <c r="H7" s="11" t="n">
        <v>35</v>
      </c>
      <c r="I7" s="11" t="n">
        <v>1</v>
      </c>
      <c r="J7" s="11" t="n">
        <v>0</v>
      </c>
      <c r="K7" s="11" t="n">
        <v>0</v>
      </c>
      <c r="L7" s="14" t="n">
        <v>114279.5313576844</v>
      </c>
      <c r="M7" s="15" t="n">
        <v>0.302</v>
      </c>
      <c r="N7" s="14" t="n">
        <v>10114.28571428571</v>
      </c>
    </row>
    <row r="8">
      <c r="A8" t="inlineStr">
        <is>
          <t>Care Worker</t>
        </is>
      </c>
      <c r="B8" s="11" t="n">
        <v>361</v>
      </c>
      <c r="C8" s="8" t="n">
        <v>0.7168975069252078</v>
      </c>
      <c r="D8" s="11" t="n">
        <v>288.6</v>
      </c>
      <c r="E8" s="12" t="n">
        <v>0.01835972024235177</v>
      </c>
      <c r="F8" s="11" t="n">
        <v>1</v>
      </c>
      <c r="G8" s="13" t="n">
        <v>0.2612737095594173</v>
      </c>
      <c r="H8" s="11" t="n">
        <v>131</v>
      </c>
      <c r="I8" s="11" t="n">
        <v>1</v>
      </c>
      <c r="J8" s="11" t="n">
        <v>0</v>
      </c>
      <c r="K8" s="11" t="n">
        <v>0</v>
      </c>
      <c r="L8" s="14" t="n">
        <v>77180.0231839258</v>
      </c>
      <c r="M8" s="15" t="n">
        <v>0.459</v>
      </c>
      <c r="N8" s="14" t="n">
        <v>9725.190839694656</v>
      </c>
    </row>
    <row r="9">
      <c r="A9" t="inlineStr">
        <is>
          <t>Administration</t>
        </is>
      </c>
      <c r="B9" s="11" t="n">
        <v>247</v>
      </c>
      <c r="C9" s="8" t="n">
        <v>0.8781376518218623</v>
      </c>
      <c r="D9" s="11" t="n">
        <v>232.6</v>
      </c>
      <c r="E9" s="12" t="n">
        <v>0.00935742431642983</v>
      </c>
      <c r="F9" s="11" t="n">
        <v>0</v>
      </c>
      <c r="G9" s="13" t="n">
        <v>0.122686377044562</v>
      </c>
      <c r="H9" s="11" t="n">
        <v>53</v>
      </c>
      <c r="I9" s="11" t="n">
        <v>0</v>
      </c>
      <c r="J9" s="11" t="n">
        <v>0</v>
      </c>
      <c r="K9" s="11" t="n">
        <v>0</v>
      </c>
      <c r="L9" s="14" t="n">
        <v>87029.18395573997</v>
      </c>
      <c r="M9" s="15" t="n">
        <v>0.101</v>
      </c>
      <c r="N9" s="14" t="n">
        <v>9320.754716981131</v>
      </c>
    </row>
    <row r="10">
      <c r="A10" t="inlineStr">
        <is>
          <t>Support Services</t>
        </is>
      </c>
      <c r="B10" s="11" t="n">
        <v>184</v>
      </c>
      <c r="C10" s="8" t="n">
        <v>0.8505434782608695</v>
      </c>
      <c r="D10" s="11" t="n">
        <v>162.8</v>
      </c>
      <c r="E10" s="12" t="n">
        <v>0.00495630186375684</v>
      </c>
      <c r="F10" s="11" t="n">
        <v>0</v>
      </c>
      <c r="G10" s="13" t="n">
        <v>0.143237849463551</v>
      </c>
      <c r="H10" s="11" t="n">
        <v>56</v>
      </c>
      <c r="I10" s="11" t="n">
        <v>0</v>
      </c>
      <c r="J10" s="11" t="n">
        <v>0</v>
      </c>
      <c r="K10" s="11" t="n">
        <v>0</v>
      </c>
      <c r="L10" s="14" t="n">
        <v>75276.93290734824</v>
      </c>
      <c r="M10" s="15" t="n">
        <v>0.253</v>
      </c>
      <c r="N10" s="14" t="n">
        <v>9142.857142857143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 ht="45" customHeight="1">
      <c r="A1" s="10" t="inlineStr">
        <is>
          <t>Year</t>
        </is>
      </c>
      <c r="B1" s="10" t="inlineStr">
        <is>
          <t>t</t>
        </is>
      </c>
      <c r="C1" s="10" t="inlineStr">
        <is>
          <t>Job family</t>
        </is>
      </c>
      <c r="D1" s="10" t="inlineStr">
        <is>
          <t>Demand growth</t>
        </is>
      </c>
      <c r="E1" s="10" t="inlineStr">
        <is>
          <t>Demand FTE</t>
        </is>
      </c>
      <c r="F1" s="10" t="inlineStr">
        <is>
          <t>HC start</t>
        </is>
      </c>
      <c r="G1" s="10" t="inlineStr">
        <is>
          <t>Attrition</t>
        </is>
      </c>
      <c r="H1" s="10" t="inlineStr">
        <is>
          <t>Separations</t>
        </is>
      </c>
      <c r="I1" s="10" t="inlineStr">
        <is>
          <t>EN-&gt;RN out</t>
        </is>
      </c>
      <c r="J1" s="10" t="inlineStr">
        <is>
          <t>EN-&gt;RN in</t>
        </is>
      </c>
      <c r="K1" s="10" t="inlineStr">
        <is>
          <t>Graduates</t>
        </is>
      </c>
      <c r="L1" s="10" t="inlineStr">
        <is>
          <t>Net transfers</t>
        </is>
      </c>
      <c r="M1" s="10" t="inlineStr">
        <is>
          <t>HC pre-hire</t>
        </is>
      </c>
      <c r="N1" s="10" t="inlineStr">
        <is>
          <t>FTE/head</t>
        </is>
      </c>
      <c r="O1" s="10" t="inlineStr">
        <is>
          <t>Required hires</t>
        </is>
      </c>
      <c r="P1" s="10" t="inlineStr">
        <is>
          <t>Capacity</t>
        </is>
      </c>
      <c r="Q1" s="10" t="inlineStr">
        <is>
          <t>Hires</t>
        </is>
      </c>
      <c r="R1" s="10" t="inlineStr">
        <is>
          <t>HC end</t>
        </is>
      </c>
      <c r="S1" s="10" t="inlineStr">
        <is>
          <t>Supply FTE</t>
        </is>
      </c>
      <c r="T1" s="10" t="inlineStr">
        <is>
          <t>Gap FTE</t>
        </is>
      </c>
      <c r="U1" s="10" t="inlineStr">
        <is>
          <t>Shortage FTE</t>
        </is>
      </c>
      <c r="V1" s="10" t="inlineStr">
        <is>
          <t>Agency FTE</t>
        </is>
      </c>
      <c r="W1" s="10" t="inlineStr">
        <is>
          <t>Unfilled FTE</t>
        </is>
      </c>
      <c r="X1" s="10" t="inlineStr">
        <is>
          <t>Wage index</t>
        </is>
      </c>
      <c r="Y1" s="10" t="inlineStr">
        <is>
          <t>Employee cost</t>
        </is>
      </c>
      <c r="Z1" s="10" t="inlineStr">
        <is>
          <t>Agency cost</t>
        </is>
      </c>
      <c r="AA1" s="10" t="inlineStr">
        <is>
          <t>Recruitment cost</t>
        </is>
      </c>
      <c r="AB1" s="10" t="inlineStr">
        <is>
          <t>Total cost</t>
        </is>
      </c>
      <c r="AC1" s="10" t="inlineStr">
        <is>
          <t>Identity check</t>
        </is>
      </c>
    </row>
    <row r="2">
      <c r="A2" s="16" t="inlineStr">
        <is>
          <t>FY2027</t>
        </is>
      </c>
      <c r="B2" s="16" t="n">
        <v>1</v>
      </c>
      <c r="C2" s="16" t="inlineStr">
        <is>
          <t>Registered Nurse</t>
        </is>
      </c>
      <c r="D2" s="17">
        <f>Inputs!$E$3+IF(Inputs!$F$3=1,Scenarios!$E$6,Scenarios!$E$7)</f>
        <v/>
      </c>
      <c r="E2" s="16">
        <f>Inputs!$D$3*(1+D2)</f>
        <v/>
      </c>
      <c r="F2" s="16">
        <f>Inputs!$B$3</f>
        <v/>
      </c>
      <c r="G2" s="18">
        <f>Inputs!$G$3*Scenarios!$E$8</f>
        <v/>
      </c>
      <c r="H2" s="16">
        <f>F2*G2</f>
        <v/>
      </c>
      <c r="I2" s="16">
        <f>0</f>
        <v/>
      </c>
      <c r="J2" s="16">
        <f>I4</f>
        <v/>
      </c>
      <c r="K2" s="16">
        <f>Inputs!$J$3*Scenarios!$E$14*Scenarios!$E$10</f>
        <v/>
      </c>
      <c r="L2" s="16">
        <f>Inputs!$K$3</f>
        <v/>
      </c>
      <c r="M2" s="16">
        <f>F2-H2-I2+J2+K2+L2</f>
        <v/>
      </c>
      <c r="N2" s="16">
        <f>Inputs!$C$3</f>
        <v/>
      </c>
      <c r="O2" s="16">
        <f>MAX(0,(E2-M2*N2)/N2)</f>
        <v/>
      </c>
      <c r="P2" s="16">
        <f>Inputs!$H$3*IF(Inputs!$I$3=1,Scenarios!$E$9,1)</f>
        <v/>
      </c>
      <c r="Q2" s="16">
        <f>MIN(O2,P2)</f>
        <v/>
      </c>
      <c r="R2" s="16">
        <f>M2+Q2</f>
        <v/>
      </c>
      <c r="S2" s="16">
        <f>R2*N2</f>
        <v/>
      </c>
      <c r="T2" s="16">
        <f>E2-S2</f>
        <v/>
      </c>
      <c r="U2" s="16">
        <f>MAX(0,T2)</f>
        <v/>
      </c>
      <c r="V2" s="16">
        <f>U2*Inputs!$M$3</f>
        <v/>
      </c>
      <c r="W2" s="16">
        <f>U2-V2</f>
        <v/>
      </c>
      <c r="X2" s="19">
        <f>(1+Scenarios!$E$11)^B2</f>
        <v/>
      </c>
      <c r="Y2" s="20">
        <f>((F2*N2+S2)/2)*Inputs!$L$3*X2*Scenarios!$E$15</f>
        <v/>
      </c>
      <c r="Z2" s="20">
        <f>V2*Inputs!$L$3*X2*Scenarios!$E$12</f>
        <v/>
      </c>
      <c r="AA2" s="20">
        <f>Q2*Inputs!$N$3</f>
        <v/>
      </c>
      <c r="AB2" s="20">
        <f>Y2+Z2+AA2</f>
        <v/>
      </c>
      <c r="AC2" s="21">
        <f>F2+Q2+K2+J2+L2-H2-I2-R2</f>
        <v/>
      </c>
    </row>
    <row r="3">
      <c r="A3" s="16" t="inlineStr">
        <is>
          <t>FY2027</t>
        </is>
      </c>
      <c r="B3" s="16" t="n">
        <v>1</v>
      </c>
      <c r="C3" s="16" t="inlineStr">
        <is>
          <t>Midwife</t>
        </is>
      </c>
      <c r="D3" s="17">
        <f>Inputs!$E$4+IF(Inputs!$F$4=1,Scenarios!$E$6,Scenarios!$E$7)</f>
        <v/>
      </c>
      <c r="E3" s="16">
        <f>Inputs!$D$4*(1+D3)</f>
        <v/>
      </c>
      <c r="F3" s="16">
        <f>Inputs!$B$4</f>
        <v/>
      </c>
      <c r="G3" s="18">
        <f>Inputs!$G$4*Scenarios!$E$8</f>
        <v/>
      </c>
      <c r="H3" s="16">
        <f>F3*G3</f>
        <v/>
      </c>
      <c r="I3" s="16">
        <f>0</f>
        <v/>
      </c>
      <c r="J3" s="16">
        <f>0</f>
        <v/>
      </c>
      <c r="K3" s="16">
        <f>Inputs!$J$4*Scenarios!$E$14*Scenarios!$E$10</f>
        <v/>
      </c>
      <c r="L3" s="16">
        <f>Inputs!$K$4</f>
        <v/>
      </c>
      <c r="M3" s="16">
        <f>F3-H3-I3+J3+K3+L3</f>
        <v/>
      </c>
      <c r="N3" s="16">
        <f>Inputs!$C$4</f>
        <v/>
      </c>
      <c r="O3" s="16">
        <f>MAX(0,(E3-M3*N3)/N3)</f>
        <v/>
      </c>
      <c r="P3" s="16">
        <f>Inputs!$H$4*IF(Inputs!$I$4=1,Scenarios!$E$9,1)</f>
        <v/>
      </c>
      <c r="Q3" s="16">
        <f>MIN(O3,P3)</f>
        <v/>
      </c>
      <c r="R3" s="16">
        <f>M3+Q3</f>
        <v/>
      </c>
      <c r="S3" s="16">
        <f>R3*N3</f>
        <v/>
      </c>
      <c r="T3" s="16">
        <f>E3-S3</f>
        <v/>
      </c>
      <c r="U3" s="16">
        <f>MAX(0,T3)</f>
        <v/>
      </c>
      <c r="V3" s="16">
        <f>U3*Inputs!$M$4</f>
        <v/>
      </c>
      <c r="W3" s="16">
        <f>U3-V3</f>
        <v/>
      </c>
      <c r="X3" s="19">
        <f>(1+Scenarios!$E$11)^B3</f>
        <v/>
      </c>
      <c r="Y3" s="20">
        <f>((F3*N3+S3)/2)*Inputs!$L$4*X3*Scenarios!$E$15</f>
        <v/>
      </c>
      <c r="Z3" s="20">
        <f>V3*Inputs!$L$4*X3*Scenarios!$E$12</f>
        <v/>
      </c>
      <c r="AA3" s="20">
        <f>Q3*Inputs!$N$4</f>
        <v/>
      </c>
      <c r="AB3" s="20">
        <f>Y3+Z3+AA3</f>
        <v/>
      </c>
      <c r="AC3" s="21">
        <f>F3+Q3+K3+J3+L3-H3-I3-R3</f>
        <v/>
      </c>
    </row>
    <row r="4">
      <c r="A4" s="16" t="inlineStr">
        <is>
          <t>FY2027</t>
        </is>
      </c>
      <c r="B4" s="16" t="n">
        <v>1</v>
      </c>
      <c r="C4" s="16" t="inlineStr">
        <is>
          <t>Enrolled Nurse</t>
        </is>
      </c>
      <c r="D4" s="17">
        <f>Inputs!$E$5+IF(Inputs!$F$5=1,Scenarios!$E$6,Scenarios!$E$7)</f>
        <v/>
      </c>
      <c r="E4" s="16">
        <f>Inputs!$D$5*(1+D4)</f>
        <v/>
      </c>
      <c r="F4" s="16">
        <f>Inputs!$B$5</f>
        <v/>
      </c>
      <c r="G4" s="18">
        <f>Inputs!$G$5*Scenarios!$E$8</f>
        <v/>
      </c>
      <c r="H4" s="16">
        <f>F4*G4</f>
        <v/>
      </c>
      <c r="I4" s="16">
        <f>F4*Scenarios!$E$13</f>
        <v/>
      </c>
      <c r="J4" s="16">
        <f>0</f>
        <v/>
      </c>
      <c r="K4" s="16">
        <f>Inputs!$J$5*Scenarios!$E$14*Scenarios!$E$10</f>
        <v/>
      </c>
      <c r="L4" s="16">
        <f>Inputs!$K$5</f>
        <v/>
      </c>
      <c r="M4" s="16">
        <f>F4-H4-I4+J4+K4+L4</f>
        <v/>
      </c>
      <c r="N4" s="16">
        <f>Inputs!$C$5</f>
        <v/>
      </c>
      <c r="O4" s="16">
        <f>MAX(0,(E4-M4*N4)/N4)</f>
        <v/>
      </c>
      <c r="P4" s="16">
        <f>Inputs!$H$5*IF(Inputs!$I$5=1,Scenarios!$E$9,1)</f>
        <v/>
      </c>
      <c r="Q4" s="16">
        <f>MIN(O4,P4)</f>
        <v/>
      </c>
      <c r="R4" s="16">
        <f>M4+Q4</f>
        <v/>
      </c>
      <c r="S4" s="16">
        <f>R4*N4</f>
        <v/>
      </c>
      <c r="T4" s="16">
        <f>E4-S4</f>
        <v/>
      </c>
      <c r="U4" s="16">
        <f>MAX(0,T4)</f>
        <v/>
      </c>
      <c r="V4" s="16">
        <f>U4*Inputs!$M$5</f>
        <v/>
      </c>
      <c r="W4" s="16">
        <f>U4-V4</f>
        <v/>
      </c>
      <c r="X4" s="19">
        <f>(1+Scenarios!$E$11)^B4</f>
        <v/>
      </c>
      <c r="Y4" s="20">
        <f>((F4*N4+S4)/2)*Inputs!$L$5*X4*Scenarios!$E$15</f>
        <v/>
      </c>
      <c r="Z4" s="20">
        <f>V4*Inputs!$L$5*X4*Scenarios!$E$12</f>
        <v/>
      </c>
      <c r="AA4" s="20">
        <f>Q4*Inputs!$N$5</f>
        <v/>
      </c>
      <c r="AB4" s="20">
        <f>Y4+Z4+AA4</f>
        <v/>
      </c>
      <c r="AC4" s="21">
        <f>F4+Q4+K4+J4+L4-H4-I4-R4</f>
        <v/>
      </c>
    </row>
    <row r="5">
      <c r="A5" s="16" t="inlineStr">
        <is>
          <t>FY2027</t>
        </is>
      </c>
      <c r="B5" s="16" t="n">
        <v>1</v>
      </c>
      <c r="C5" s="16" t="inlineStr">
        <is>
          <t>Medical Practitioner</t>
        </is>
      </c>
      <c r="D5" s="17">
        <f>Inputs!$E$6+IF(Inputs!$F$6=1,Scenarios!$E$6,Scenarios!$E$7)</f>
        <v/>
      </c>
      <c r="E5" s="16">
        <f>Inputs!$D$6*(1+D5)</f>
        <v/>
      </c>
      <c r="F5" s="16">
        <f>Inputs!$B$6</f>
        <v/>
      </c>
      <c r="G5" s="18">
        <f>Inputs!$G$6*Scenarios!$E$8</f>
        <v/>
      </c>
      <c r="H5" s="16">
        <f>F5*G5</f>
        <v/>
      </c>
      <c r="I5" s="16">
        <f>0</f>
        <v/>
      </c>
      <c r="J5" s="16">
        <f>0</f>
        <v/>
      </c>
      <c r="K5" s="16">
        <f>Inputs!$J$6*Scenarios!$E$14*Scenarios!$E$10</f>
        <v/>
      </c>
      <c r="L5" s="16">
        <f>Inputs!$K$6</f>
        <v/>
      </c>
      <c r="M5" s="16">
        <f>F5-H5-I5+J5+K5+L5</f>
        <v/>
      </c>
      <c r="N5" s="16">
        <f>Inputs!$C$6</f>
        <v/>
      </c>
      <c r="O5" s="16">
        <f>MAX(0,(E5-M5*N5)/N5)</f>
        <v/>
      </c>
      <c r="P5" s="16">
        <f>Inputs!$H$6*IF(Inputs!$I$6=1,Scenarios!$E$9,1)</f>
        <v/>
      </c>
      <c r="Q5" s="16">
        <f>MIN(O5,P5)</f>
        <v/>
      </c>
      <c r="R5" s="16">
        <f>M5+Q5</f>
        <v/>
      </c>
      <c r="S5" s="16">
        <f>R5*N5</f>
        <v/>
      </c>
      <c r="T5" s="16">
        <f>E5-S5</f>
        <v/>
      </c>
      <c r="U5" s="16">
        <f>MAX(0,T5)</f>
        <v/>
      </c>
      <c r="V5" s="16">
        <f>U5*Inputs!$M$6</f>
        <v/>
      </c>
      <c r="W5" s="16">
        <f>U5-V5</f>
        <v/>
      </c>
      <c r="X5" s="19">
        <f>(1+Scenarios!$E$11)^B5</f>
        <v/>
      </c>
      <c r="Y5" s="20">
        <f>((F5*N5+S5)/2)*Inputs!$L$6*X5*Scenarios!$E$15</f>
        <v/>
      </c>
      <c r="Z5" s="20">
        <f>V5*Inputs!$L$6*X5*Scenarios!$E$12</f>
        <v/>
      </c>
      <c r="AA5" s="20">
        <f>Q5*Inputs!$N$6</f>
        <v/>
      </c>
      <c r="AB5" s="20">
        <f>Y5+Z5+AA5</f>
        <v/>
      </c>
      <c r="AC5" s="21">
        <f>F5+Q5+K5+J5+L5-H5-I5-R5</f>
        <v/>
      </c>
    </row>
    <row r="6">
      <c r="A6" s="16" t="inlineStr">
        <is>
          <t>FY2027</t>
        </is>
      </c>
      <c r="B6" s="16" t="n">
        <v>1</v>
      </c>
      <c r="C6" s="16" t="inlineStr">
        <is>
          <t>Allied Health</t>
        </is>
      </c>
      <c r="D6" s="17">
        <f>Inputs!$E$7+IF(Inputs!$F$7=1,Scenarios!$E$6,Scenarios!$E$7)</f>
        <v/>
      </c>
      <c r="E6" s="16">
        <f>Inputs!$D$7*(1+D6)</f>
        <v/>
      </c>
      <c r="F6" s="16">
        <f>Inputs!$B$7</f>
        <v/>
      </c>
      <c r="G6" s="18">
        <f>Inputs!$G$7*Scenarios!$E$8</f>
        <v/>
      </c>
      <c r="H6" s="16">
        <f>F6*G6</f>
        <v/>
      </c>
      <c r="I6" s="16">
        <f>0</f>
        <v/>
      </c>
      <c r="J6" s="16">
        <f>0</f>
        <v/>
      </c>
      <c r="K6" s="16">
        <f>Inputs!$J$7*Scenarios!$E$14*Scenarios!$E$10</f>
        <v/>
      </c>
      <c r="L6" s="16">
        <f>Inputs!$K$7</f>
        <v/>
      </c>
      <c r="M6" s="16">
        <f>F6-H6-I6+J6+K6+L6</f>
        <v/>
      </c>
      <c r="N6" s="16">
        <f>Inputs!$C$7</f>
        <v/>
      </c>
      <c r="O6" s="16">
        <f>MAX(0,(E6-M6*N6)/N6)</f>
        <v/>
      </c>
      <c r="P6" s="16">
        <f>Inputs!$H$7*IF(Inputs!$I$7=1,Scenarios!$E$9,1)</f>
        <v/>
      </c>
      <c r="Q6" s="16">
        <f>MIN(O6,P6)</f>
        <v/>
      </c>
      <c r="R6" s="16">
        <f>M6+Q6</f>
        <v/>
      </c>
      <c r="S6" s="16">
        <f>R6*N6</f>
        <v/>
      </c>
      <c r="T6" s="16">
        <f>E6-S6</f>
        <v/>
      </c>
      <c r="U6" s="16">
        <f>MAX(0,T6)</f>
        <v/>
      </c>
      <c r="V6" s="16">
        <f>U6*Inputs!$M$7</f>
        <v/>
      </c>
      <c r="W6" s="16">
        <f>U6-V6</f>
        <v/>
      </c>
      <c r="X6" s="19">
        <f>(1+Scenarios!$E$11)^B6</f>
        <v/>
      </c>
      <c r="Y6" s="20">
        <f>((F6*N6+S6)/2)*Inputs!$L$7*X6*Scenarios!$E$15</f>
        <v/>
      </c>
      <c r="Z6" s="20">
        <f>V6*Inputs!$L$7*X6*Scenarios!$E$12</f>
        <v/>
      </c>
      <c r="AA6" s="20">
        <f>Q6*Inputs!$N$7</f>
        <v/>
      </c>
      <c r="AB6" s="20">
        <f>Y6+Z6+AA6</f>
        <v/>
      </c>
      <c r="AC6" s="21">
        <f>F6+Q6+K6+J6+L6-H6-I6-R6</f>
        <v/>
      </c>
    </row>
    <row r="7">
      <c r="A7" s="16" t="inlineStr">
        <is>
          <t>FY2027</t>
        </is>
      </c>
      <c r="B7" s="16" t="n">
        <v>1</v>
      </c>
      <c r="C7" s="16" t="inlineStr">
        <is>
          <t>Care Worker</t>
        </is>
      </c>
      <c r="D7" s="17">
        <f>Inputs!$E$8+IF(Inputs!$F$8=1,Scenarios!$E$6,Scenarios!$E$7)</f>
        <v/>
      </c>
      <c r="E7" s="16">
        <f>Inputs!$D$8*(1+D7)</f>
        <v/>
      </c>
      <c r="F7" s="16">
        <f>Inputs!$B$8</f>
        <v/>
      </c>
      <c r="G7" s="18">
        <f>Inputs!$G$8*Scenarios!$E$8</f>
        <v/>
      </c>
      <c r="H7" s="16">
        <f>F7*G7</f>
        <v/>
      </c>
      <c r="I7" s="16">
        <f>0</f>
        <v/>
      </c>
      <c r="J7" s="16">
        <f>0</f>
        <v/>
      </c>
      <c r="K7" s="16">
        <f>Inputs!$J$8*Scenarios!$E$14*Scenarios!$E$10</f>
        <v/>
      </c>
      <c r="L7" s="16">
        <f>Inputs!$K$8</f>
        <v/>
      </c>
      <c r="M7" s="16">
        <f>F7-H7-I7+J7+K7+L7</f>
        <v/>
      </c>
      <c r="N7" s="16">
        <f>Inputs!$C$8</f>
        <v/>
      </c>
      <c r="O7" s="16">
        <f>MAX(0,(E7-M7*N7)/N7)</f>
        <v/>
      </c>
      <c r="P7" s="16">
        <f>Inputs!$H$8*IF(Inputs!$I$8=1,Scenarios!$E$9,1)</f>
        <v/>
      </c>
      <c r="Q7" s="16">
        <f>MIN(O7,P7)</f>
        <v/>
      </c>
      <c r="R7" s="16">
        <f>M7+Q7</f>
        <v/>
      </c>
      <c r="S7" s="16">
        <f>R7*N7</f>
        <v/>
      </c>
      <c r="T7" s="16">
        <f>E7-S7</f>
        <v/>
      </c>
      <c r="U7" s="16">
        <f>MAX(0,T7)</f>
        <v/>
      </c>
      <c r="V7" s="16">
        <f>U7*Inputs!$M$8</f>
        <v/>
      </c>
      <c r="W7" s="16">
        <f>U7-V7</f>
        <v/>
      </c>
      <c r="X7" s="19">
        <f>(1+Scenarios!$E$11)^B7</f>
        <v/>
      </c>
      <c r="Y7" s="20">
        <f>((F7*N7+S7)/2)*Inputs!$L$8*X7*Scenarios!$E$15</f>
        <v/>
      </c>
      <c r="Z7" s="20">
        <f>V7*Inputs!$L$8*X7*Scenarios!$E$12</f>
        <v/>
      </c>
      <c r="AA7" s="20">
        <f>Q7*Inputs!$N$8</f>
        <v/>
      </c>
      <c r="AB7" s="20">
        <f>Y7+Z7+AA7</f>
        <v/>
      </c>
      <c r="AC7" s="21">
        <f>F7+Q7+K7+J7+L7-H7-I7-R7</f>
        <v/>
      </c>
    </row>
    <row r="8">
      <c r="A8" s="16" t="inlineStr">
        <is>
          <t>FY2027</t>
        </is>
      </c>
      <c r="B8" s="16" t="n">
        <v>1</v>
      </c>
      <c r="C8" s="16" t="inlineStr">
        <is>
          <t>Administration</t>
        </is>
      </c>
      <c r="D8" s="17">
        <f>Inputs!$E$9+IF(Inputs!$F$9=1,Scenarios!$E$6,Scenarios!$E$7)</f>
        <v/>
      </c>
      <c r="E8" s="16">
        <f>Inputs!$D$9*(1+D8)</f>
        <v/>
      </c>
      <c r="F8" s="16">
        <f>Inputs!$B$9</f>
        <v/>
      </c>
      <c r="G8" s="18">
        <f>Inputs!$G$9*Scenarios!$E$8</f>
        <v/>
      </c>
      <c r="H8" s="16">
        <f>F8*G8</f>
        <v/>
      </c>
      <c r="I8" s="16">
        <f>0</f>
        <v/>
      </c>
      <c r="J8" s="16">
        <f>0</f>
        <v/>
      </c>
      <c r="K8" s="16">
        <f>Inputs!$J$9*Scenarios!$E$14*Scenarios!$E$10</f>
        <v/>
      </c>
      <c r="L8" s="16">
        <f>Inputs!$K$9</f>
        <v/>
      </c>
      <c r="M8" s="16">
        <f>F8-H8-I8+J8+K8+L8</f>
        <v/>
      </c>
      <c r="N8" s="16">
        <f>Inputs!$C$9</f>
        <v/>
      </c>
      <c r="O8" s="16">
        <f>MAX(0,(E8-M8*N8)/N8)</f>
        <v/>
      </c>
      <c r="P8" s="16">
        <f>Inputs!$H$9*IF(Inputs!$I$9=1,Scenarios!$E$9,1)</f>
        <v/>
      </c>
      <c r="Q8" s="16">
        <f>MIN(O8,P8)</f>
        <v/>
      </c>
      <c r="R8" s="16">
        <f>M8+Q8</f>
        <v/>
      </c>
      <c r="S8" s="16">
        <f>R8*N8</f>
        <v/>
      </c>
      <c r="T8" s="16">
        <f>E8-S8</f>
        <v/>
      </c>
      <c r="U8" s="16">
        <f>MAX(0,T8)</f>
        <v/>
      </c>
      <c r="V8" s="16">
        <f>U8*Inputs!$M$9</f>
        <v/>
      </c>
      <c r="W8" s="16">
        <f>U8-V8</f>
        <v/>
      </c>
      <c r="X8" s="19">
        <f>(1+Scenarios!$E$11)^B8</f>
        <v/>
      </c>
      <c r="Y8" s="20">
        <f>((F8*N8+S8)/2)*Inputs!$L$9*X8*Scenarios!$E$15</f>
        <v/>
      </c>
      <c r="Z8" s="20">
        <f>V8*Inputs!$L$9*X8*Scenarios!$E$12</f>
        <v/>
      </c>
      <c r="AA8" s="20">
        <f>Q8*Inputs!$N$9</f>
        <v/>
      </c>
      <c r="AB8" s="20">
        <f>Y8+Z8+AA8</f>
        <v/>
      </c>
      <c r="AC8" s="21">
        <f>F8+Q8+K8+J8+L8-H8-I8-R8</f>
        <v/>
      </c>
    </row>
    <row r="9">
      <c r="A9" s="16" t="inlineStr">
        <is>
          <t>FY2027</t>
        </is>
      </c>
      <c r="B9" s="16" t="n">
        <v>1</v>
      </c>
      <c r="C9" s="16" t="inlineStr">
        <is>
          <t>Support Services</t>
        </is>
      </c>
      <c r="D9" s="17">
        <f>Inputs!$E$10+IF(Inputs!$F$10=1,Scenarios!$E$6,Scenarios!$E$7)</f>
        <v/>
      </c>
      <c r="E9" s="16">
        <f>Inputs!$D$10*(1+D9)</f>
        <v/>
      </c>
      <c r="F9" s="16">
        <f>Inputs!$B$10</f>
        <v/>
      </c>
      <c r="G9" s="18">
        <f>Inputs!$G$10*Scenarios!$E$8</f>
        <v/>
      </c>
      <c r="H9" s="16">
        <f>F9*G9</f>
        <v/>
      </c>
      <c r="I9" s="16">
        <f>0</f>
        <v/>
      </c>
      <c r="J9" s="16">
        <f>0</f>
        <v/>
      </c>
      <c r="K9" s="16">
        <f>Inputs!$J$10*Scenarios!$E$14*Scenarios!$E$10</f>
        <v/>
      </c>
      <c r="L9" s="16">
        <f>Inputs!$K$10</f>
        <v/>
      </c>
      <c r="M9" s="16">
        <f>F9-H9-I9+J9+K9+L9</f>
        <v/>
      </c>
      <c r="N9" s="16">
        <f>Inputs!$C$10</f>
        <v/>
      </c>
      <c r="O9" s="16">
        <f>MAX(0,(E9-M9*N9)/N9)</f>
        <v/>
      </c>
      <c r="P9" s="16">
        <f>Inputs!$H$10*IF(Inputs!$I$10=1,Scenarios!$E$9,1)</f>
        <v/>
      </c>
      <c r="Q9" s="16">
        <f>MIN(O9,P9)</f>
        <v/>
      </c>
      <c r="R9" s="16">
        <f>M9+Q9</f>
        <v/>
      </c>
      <c r="S9" s="16">
        <f>R9*N9</f>
        <v/>
      </c>
      <c r="T9" s="16">
        <f>E9-S9</f>
        <v/>
      </c>
      <c r="U9" s="16">
        <f>MAX(0,T9)</f>
        <v/>
      </c>
      <c r="V9" s="16">
        <f>U9*Inputs!$M$10</f>
        <v/>
      </c>
      <c r="W9" s="16">
        <f>U9-V9</f>
        <v/>
      </c>
      <c r="X9" s="19">
        <f>(1+Scenarios!$E$11)^B9</f>
        <v/>
      </c>
      <c r="Y9" s="20">
        <f>((F9*N9+S9)/2)*Inputs!$L$10*X9*Scenarios!$E$15</f>
        <v/>
      </c>
      <c r="Z9" s="20">
        <f>V9*Inputs!$L$10*X9*Scenarios!$E$12</f>
        <v/>
      </c>
      <c r="AA9" s="20">
        <f>Q9*Inputs!$N$10</f>
        <v/>
      </c>
      <c r="AB9" s="20">
        <f>Y9+Z9+AA9</f>
        <v/>
      </c>
      <c r="AC9" s="21">
        <f>F9+Q9+K9+J9+L9-H9-I9-R9</f>
        <v/>
      </c>
    </row>
    <row r="10">
      <c r="A10" s="16" t="inlineStr">
        <is>
          <t>FY2028</t>
        </is>
      </c>
      <c r="B10" s="16" t="n">
        <v>2</v>
      </c>
      <c r="C10" s="16" t="inlineStr">
        <is>
          <t>Registered Nurse</t>
        </is>
      </c>
      <c r="D10" s="17">
        <f>Inputs!$E$3+IF(Inputs!$F$3=1,Scenarios!$E$6,Scenarios!$E$7)</f>
        <v/>
      </c>
      <c r="E10" s="16">
        <f>E2*(1+D10)</f>
        <v/>
      </c>
      <c r="F10" s="16">
        <f>R2</f>
        <v/>
      </c>
      <c r="G10" s="18">
        <f>Inputs!$G$3*Scenarios!$E$8</f>
        <v/>
      </c>
      <c r="H10" s="16">
        <f>F10*G10</f>
        <v/>
      </c>
      <c r="I10" s="16">
        <f>0</f>
        <v/>
      </c>
      <c r="J10" s="16">
        <f>I12</f>
        <v/>
      </c>
      <c r="K10" s="16">
        <f>Inputs!$J$3*Scenarios!$E$14*Scenarios!$E$10</f>
        <v/>
      </c>
      <c r="L10" s="16">
        <f>Inputs!$K$3</f>
        <v/>
      </c>
      <c r="M10" s="16">
        <f>F10-H10-I10+J10+K10+L10</f>
        <v/>
      </c>
      <c r="N10" s="16">
        <f>Inputs!$C$3</f>
        <v/>
      </c>
      <c r="O10" s="16">
        <f>MAX(0,(E10-M10*N10)/N10)</f>
        <v/>
      </c>
      <c r="P10" s="16">
        <f>Inputs!$H$3*IF(Inputs!$I$3=1,Scenarios!$E$9,1)</f>
        <v/>
      </c>
      <c r="Q10" s="16">
        <f>MIN(O10,P10)</f>
        <v/>
      </c>
      <c r="R10" s="16">
        <f>M10+Q10</f>
        <v/>
      </c>
      <c r="S10" s="16">
        <f>R10*N10</f>
        <v/>
      </c>
      <c r="T10" s="16">
        <f>E10-S10</f>
        <v/>
      </c>
      <c r="U10" s="16">
        <f>MAX(0,T10)</f>
        <v/>
      </c>
      <c r="V10" s="16">
        <f>U10*Inputs!$M$3</f>
        <v/>
      </c>
      <c r="W10" s="16">
        <f>U10-V10</f>
        <v/>
      </c>
      <c r="X10" s="19">
        <f>(1+Scenarios!$E$11)^B10</f>
        <v/>
      </c>
      <c r="Y10" s="20">
        <f>((F10*N10+S10)/2)*Inputs!$L$3*X10*Scenarios!$E$15</f>
        <v/>
      </c>
      <c r="Z10" s="20">
        <f>V10*Inputs!$L$3*X10*Scenarios!$E$12</f>
        <v/>
      </c>
      <c r="AA10" s="20">
        <f>Q10*Inputs!$N$3</f>
        <v/>
      </c>
      <c r="AB10" s="20">
        <f>Y10+Z10+AA10</f>
        <v/>
      </c>
      <c r="AC10" s="21">
        <f>F10+Q10+K10+J10+L10-H10-I10-R10</f>
        <v/>
      </c>
    </row>
    <row r="11">
      <c r="A11" s="16" t="inlineStr">
        <is>
          <t>FY2028</t>
        </is>
      </c>
      <c r="B11" s="16" t="n">
        <v>2</v>
      </c>
      <c r="C11" s="16" t="inlineStr">
        <is>
          <t>Midwife</t>
        </is>
      </c>
      <c r="D11" s="17">
        <f>Inputs!$E$4+IF(Inputs!$F$4=1,Scenarios!$E$6,Scenarios!$E$7)</f>
        <v/>
      </c>
      <c r="E11" s="16">
        <f>E3*(1+D11)</f>
        <v/>
      </c>
      <c r="F11" s="16">
        <f>R3</f>
        <v/>
      </c>
      <c r="G11" s="18">
        <f>Inputs!$G$4*Scenarios!$E$8</f>
        <v/>
      </c>
      <c r="H11" s="16">
        <f>F11*G11</f>
        <v/>
      </c>
      <c r="I11" s="16">
        <f>0</f>
        <v/>
      </c>
      <c r="J11" s="16">
        <f>0</f>
        <v/>
      </c>
      <c r="K11" s="16">
        <f>Inputs!$J$4*Scenarios!$E$14*Scenarios!$E$10</f>
        <v/>
      </c>
      <c r="L11" s="16">
        <f>Inputs!$K$4</f>
        <v/>
      </c>
      <c r="M11" s="16">
        <f>F11-H11-I11+J11+K11+L11</f>
        <v/>
      </c>
      <c r="N11" s="16">
        <f>Inputs!$C$4</f>
        <v/>
      </c>
      <c r="O11" s="16">
        <f>MAX(0,(E11-M11*N11)/N11)</f>
        <v/>
      </c>
      <c r="P11" s="16">
        <f>Inputs!$H$4*IF(Inputs!$I$4=1,Scenarios!$E$9,1)</f>
        <v/>
      </c>
      <c r="Q11" s="16">
        <f>MIN(O11,P11)</f>
        <v/>
      </c>
      <c r="R11" s="16">
        <f>M11+Q11</f>
        <v/>
      </c>
      <c r="S11" s="16">
        <f>R11*N11</f>
        <v/>
      </c>
      <c r="T11" s="16">
        <f>E11-S11</f>
        <v/>
      </c>
      <c r="U11" s="16">
        <f>MAX(0,T11)</f>
        <v/>
      </c>
      <c r="V11" s="16">
        <f>U11*Inputs!$M$4</f>
        <v/>
      </c>
      <c r="W11" s="16">
        <f>U11-V11</f>
        <v/>
      </c>
      <c r="X11" s="19">
        <f>(1+Scenarios!$E$11)^B11</f>
        <v/>
      </c>
      <c r="Y11" s="20">
        <f>((F11*N11+S11)/2)*Inputs!$L$4*X11*Scenarios!$E$15</f>
        <v/>
      </c>
      <c r="Z11" s="20">
        <f>V11*Inputs!$L$4*X11*Scenarios!$E$12</f>
        <v/>
      </c>
      <c r="AA11" s="20">
        <f>Q11*Inputs!$N$4</f>
        <v/>
      </c>
      <c r="AB11" s="20">
        <f>Y11+Z11+AA11</f>
        <v/>
      </c>
      <c r="AC11" s="21">
        <f>F11+Q11+K11+J11+L11-H11-I11-R11</f>
        <v/>
      </c>
    </row>
    <row r="12">
      <c r="A12" s="16" t="inlineStr">
        <is>
          <t>FY2028</t>
        </is>
      </c>
      <c r="B12" s="16" t="n">
        <v>2</v>
      </c>
      <c r="C12" s="16" t="inlineStr">
        <is>
          <t>Enrolled Nurse</t>
        </is>
      </c>
      <c r="D12" s="17">
        <f>Inputs!$E$5+IF(Inputs!$F$5=1,Scenarios!$E$6,Scenarios!$E$7)</f>
        <v/>
      </c>
      <c r="E12" s="16">
        <f>E4*(1+D12)</f>
        <v/>
      </c>
      <c r="F12" s="16">
        <f>R4</f>
        <v/>
      </c>
      <c r="G12" s="18">
        <f>Inputs!$G$5*Scenarios!$E$8</f>
        <v/>
      </c>
      <c r="H12" s="16">
        <f>F12*G12</f>
        <v/>
      </c>
      <c r="I12" s="16">
        <f>F12*Scenarios!$E$13</f>
        <v/>
      </c>
      <c r="J12" s="16">
        <f>0</f>
        <v/>
      </c>
      <c r="K12" s="16">
        <f>Inputs!$J$5*Scenarios!$E$14*Scenarios!$E$10</f>
        <v/>
      </c>
      <c r="L12" s="16">
        <f>Inputs!$K$5</f>
        <v/>
      </c>
      <c r="M12" s="16">
        <f>F12-H12-I12+J12+K12+L12</f>
        <v/>
      </c>
      <c r="N12" s="16">
        <f>Inputs!$C$5</f>
        <v/>
      </c>
      <c r="O12" s="16">
        <f>MAX(0,(E12-M12*N12)/N12)</f>
        <v/>
      </c>
      <c r="P12" s="16">
        <f>Inputs!$H$5*IF(Inputs!$I$5=1,Scenarios!$E$9,1)</f>
        <v/>
      </c>
      <c r="Q12" s="16">
        <f>MIN(O12,P12)</f>
        <v/>
      </c>
      <c r="R12" s="16">
        <f>M12+Q12</f>
        <v/>
      </c>
      <c r="S12" s="16">
        <f>R12*N12</f>
        <v/>
      </c>
      <c r="T12" s="16">
        <f>E12-S12</f>
        <v/>
      </c>
      <c r="U12" s="16">
        <f>MAX(0,T12)</f>
        <v/>
      </c>
      <c r="V12" s="16">
        <f>U12*Inputs!$M$5</f>
        <v/>
      </c>
      <c r="W12" s="16">
        <f>U12-V12</f>
        <v/>
      </c>
      <c r="X12" s="19">
        <f>(1+Scenarios!$E$11)^B12</f>
        <v/>
      </c>
      <c r="Y12" s="20">
        <f>((F12*N12+S12)/2)*Inputs!$L$5*X12*Scenarios!$E$15</f>
        <v/>
      </c>
      <c r="Z12" s="20">
        <f>V12*Inputs!$L$5*X12*Scenarios!$E$12</f>
        <v/>
      </c>
      <c r="AA12" s="20">
        <f>Q12*Inputs!$N$5</f>
        <v/>
      </c>
      <c r="AB12" s="20">
        <f>Y12+Z12+AA12</f>
        <v/>
      </c>
      <c r="AC12" s="21">
        <f>F12+Q12+K12+J12+L12-H12-I12-R12</f>
        <v/>
      </c>
    </row>
    <row r="13">
      <c r="A13" s="16" t="inlineStr">
        <is>
          <t>FY2028</t>
        </is>
      </c>
      <c r="B13" s="16" t="n">
        <v>2</v>
      </c>
      <c r="C13" s="16" t="inlineStr">
        <is>
          <t>Medical Practitioner</t>
        </is>
      </c>
      <c r="D13" s="17">
        <f>Inputs!$E$6+IF(Inputs!$F$6=1,Scenarios!$E$6,Scenarios!$E$7)</f>
        <v/>
      </c>
      <c r="E13" s="16">
        <f>E5*(1+D13)</f>
        <v/>
      </c>
      <c r="F13" s="16">
        <f>R5</f>
        <v/>
      </c>
      <c r="G13" s="18">
        <f>Inputs!$G$6*Scenarios!$E$8</f>
        <v/>
      </c>
      <c r="H13" s="16">
        <f>F13*G13</f>
        <v/>
      </c>
      <c r="I13" s="16">
        <f>0</f>
        <v/>
      </c>
      <c r="J13" s="16">
        <f>0</f>
        <v/>
      </c>
      <c r="K13" s="16">
        <f>Inputs!$J$6*Scenarios!$E$14*Scenarios!$E$10</f>
        <v/>
      </c>
      <c r="L13" s="16">
        <f>Inputs!$K$6</f>
        <v/>
      </c>
      <c r="M13" s="16">
        <f>F13-H13-I13+J13+K13+L13</f>
        <v/>
      </c>
      <c r="N13" s="16">
        <f>Inputs!$C$6</f>
        <v/>
      </c>
      <c r="O13" s="16">
        <f>MAX(0,(E13-M13*N13)/N13)</f>
        <v/>
      </c>
      <c r="P13" s="16">
        <f>Inputs!$H$6*IF(Inputs!$I$6=1,Scenarios!$E$9,1)</f>
        <v/>
      </c>
      <c r="Q13" s="16">
        <f>MIN(O13,P13)</f>
        <v/>
      </c>
      <c r="R13" s="16">
        <f>M13+Q13</f>
        <v/>
      </c>
      <c r="S13" s="16">
        <f>R13*N13</f>
        <v/>
      </c>
      <c r="T13" s="16">
        <f>E13-S13</f>
        <v/>
      </c>
      <c r="U13" s="16">
        <f>MAX(0,T13)</f>
        <v/>
      </c>
      <c r="V13" s="16">
        <f>U13*Inputs!$M$6</f>
        <v/>
      </c>
      <c r="W13" s="16">
        <f>U13-V13</f>
        <v/>
      </c>
      <c r="X13" s="19">
        <f>(1+Scenarios!$E$11)^B13</f>
        <v/>
      </c>
      <c r="Y13" s="20">
        <f>((F13*N13+S13)/2)*Inputs!$L$6*X13*Scenarios!$E$15</f>
        <v/>
      </c>
      <c r="Z13" s="20">
        <f>V13*Inputs!$L$6*X13*Scenarios!$E$12</f>
        <v/>
      </c>
      <c r="AA13" s="20">
        <f>Q13*Inputs!$N$6</f>
        <v/>
      </c>
      <c r="AB13" s="20">
        <f>Y13+Z13+AA13</f>
        <v/>
      </c>
      <c r="AC13" s="21">
        <f>F13+Q13+K13+J13+L13-H13-I13-R13</f>
        <v/>
      </c>
    </row>
    <row r="14">
      <c r="A14" s="16" t="inlineStr">
        <is>
          <t>FY2028</t>
        </is>
      </c>
      <c r="B14" s="16" t="n">
        <v>2</v>
      </c>
      <c r="C14" s="16" t="inlineStr">
        <is>
          <t>Allied Health</t>
        </is>
      </c>
      <c r="D14" s="17">
        <f>Inputs!$E$7+IF(Inputs!$F$7=1,Scenarios!$E$6,Scenarios!$E$7)</f>
        <v/>
      </c>
      <c r="E14" s="16">
        <f>E6*(1+D14)</f>
        <v/>
      </c>
      <c r="F14" s="16">
        <f>R6</f>
        <v/>
      </c>
      <c r="G14" s="18">
        <f>Inputs!$G$7*Scenarios!$E$8</f>
        <v/>
      </c>
      <c r="H14" s="16">
        <f>F14*G14</f>
        <v/>
      </c>
      <c r="I14" s="16">
        <f>0</f>
        <v/>
      </c>
      <c r="J14" s="16">
        <f>0</f>
        <v/>
      </c>
      <c r="K14" s="16">
        <f>Inputs!$J$7*Scenarios!$E$14*Scenarios!$E$10</f>
        <v/>
      </c>
      <c r="L14" s="16">
        <f>Inputs!$K$7</f>
        <v/>
      </c>
      <c r="M14" s="16">
        <f>F14-H14-I14+J14+K14+L14</f>
        <v/>
      </c>
      <c r="N14" s="16">
        <f>Inputs!$C$7</f>
        <v/>
      </c>
      <c r="O14" s="16">
        <f>MAX(0,(E14-M14*N14)/N14)</f>
        <v/>
      </c>
      <c r="P14" s="16">
        <f>Inputs!$H$7*IF(Inputs!$I$7=1,Scenarios!$E$9,1)</f>
        <v/>
      </c>
      <c r="Q14" s="16">
        <f>MIN(O14,P14)</f>
        <v/>
      </c>
      <c r="R14" s="16">
        <f>M14+Q14</f>
        <v/>
      </c>
      <c r="S14" s="16">
        <f>R14*N14</f>
        <v/>
      </c>
      <c r="T14" s="16">
        <f>E14-S14</f>
        <v/>
      </c>
      <c r="U14" s="16">
        <f>MAX(0,T14)</f>
        <v/>
      </c>
      <c r="V14" s="16">
        <f>U14*Inputs!$M$7</f>
        <v/>
      </c>
      <c r="W14" s="16">
        <f>U14-V14</f>
        <v/>
      </c>
      <c r="X14" s="19">
        <f>(1+Scenarios!$E$11)^B14</f>
        <v/>
      </c>
      <c r="Y14" s="20">
        <f>((F14*N14+S14)/2)*Inputs!$L$7*X14*Scenarios!$E$15</f>
        <v/>
      </c>
      <c r="Z14" s="20">
        <f>V14*Inputs!$L$7*X14*Scenarios!$E$12</f>
        <v/>
      </c>
      <c r="AA14" s="20">
        <f>Q14*Inputs!$N$7</f>
        <v/>
      </c>
      <c r="AB14" s="20">
        <f>Y14+Z14+AA14</f>
        <v/>
      </c>
      <c r="AC14" s="21">
        <f>F14+Q14+K14+J14+L14-H14-I14-R14</f>
        <v/>
      </c>
    </row>
    <row r="15">
      <c r="A15" s="16" t="inlineStr">
        <is>
          <t>FY2028</t>
        </is>
      </c>
      <c r="B15" s="16" t="n">
        <v>2</v>
      </c>
      <c r="C15" s="16" t="inlineStr">
        <is>
          <t>Care Worker</t>
        </is>
      </c>
      <c r="D15" s="17">
        <f>Inputs!$E$8+IF(Inputs!$F$8=1,Scenarios!$E$6,Scenarios!$E$7)</f>
        <v/>
      </c>
      <c r="E15" s="16">
        <f>E7*(1+D15)</f>
        <v/>
      </c>
      <c r="F15" s="16">
        <f>R7</f>
        <v/>
      </c>
      <c r="G15" s="18">
        <f>Inputs!$G$8*Scenarios!$E$8</f>
        <v/>
      </c>
      <c r="H15" s="16">
        <f>F15*G15</f>
        <v/>
      </c>
      <c r="I15" s="16">
        <f>0</f>
        <v/>
      </c>
      <c r="J15" s="16">
        <f>0</f>
        <v/>
      </c>
      <c r="K15" s="16">
        <f>Inputs!$J$8*Scenarios!$E$14*Scenarios!$E$10</f>
        <v/>
      </c>
      <c r="L15" s="16">
        <f>Inputs!$K$8</f>
        <v/>
      </c>
      <c r="M15" s="16">
        <f>F15-H15-I15+J15+K15+L15</f>
        <v/>
      </c>
      <c r="N15" s="16">
        <f>Inputs!$C$8</f>
        <v/>
      </c>
      <c r="O15" s="16">
        <f>MAX(0,(E15-M15*N15)/N15)</f>
        <v/>
      </c>
      <c r="P15" s="16">
        <f>Inputs!$H$8*IF(Inputs!$I$8=1,Scenarios!$E$9,1)</f>
        <v/>
      </c>
      <c r="Q15" s="16">
        <f>MIN(O15,P15)</f>
        <v/>
      </c>
      <c r="R15" s="16">
        <f>M15+Q15</f>
        <v/>
      </c>
      <c r="S15" s="16">
        <f>R15*N15</f>
        <v/>
      </c>
      <c r="T15" s="16">
        <f>E15-S15</f>
        <v/>
      </c>
      <c r="U15" s="16">
        <f>MAX(0,T15)</f>
        <v/>
      </c>
      <c r="V15" s="16">
        <f>U15*Inputs!$M$8</f>
        <v/>
      </c>
      <c r="W15" s="16">
        <f>U15-V15</f>
        <v/>
      </c>
      <c r="X15" s="19">
        <f>(1+Scenarios!$E$11)^B15</f>
        <v/>
      </c>
      <c r="Y15" s="20">
        <f>((F15*N15+S15)/2)*Inputs!$L$8*X15*Scenarios!$E$15</f>
        <v/>
      </c>
      <c r="Z15" s="20">
        <f>V15*Inputs!$L$8*X15*Scenarios!$E$12</f>
        <v/>
      </c>
      <c r="AA15" s="20">
        <f>Q15*Inputs!$N$8</f>
        <v/>
      </c>
      <c r="AB15" s="20">
        <f>Y15+Z15+AA15</f>
        <v/>
      </c>
      <c r="AC15" s="21">
        <f>F15+Q15+K15+J15+L15-H15-I15-R15</f>
        <v/>
      </c>
    </row>
    <row r="16">
      <c r="A16" s="16" t="inlineStr">
        <is>
          <t>FY2028</t>
        </is>
      </c>
      <c r="B16" s="16" t="n">
        <v>2</v>
      </c>
      <c r="C16" s="16" t="inlineStr">
        <is>
          <t>Administration</t>
        </is>
      </c>
      <c r="D16" s="17">
        <f>Inputs!$E$9+IF(Inputs!$F$9=1,Scenarios!$E$6,Scenarios!$E$7)</f>
        <v/>
      </c>
      <c r="E16" s="16">
        <f>E8*(1+D16)</f>
        <v/>
      </c>
      <c r="F16" s="16">
        <f>R8</f>
        <v/>
      </c>
      <c r="G16" s="18">
        <f>Inputs!$G$9*Scenarios!$E$8</f>
        <v/>
      </c>
      <c r="H16" s="16">
        <f>F16*G16</f>
        <v/>
      </c>
      <c r="I16" s="16">
        <f>0</f>
        <v/>
      </c>
      <c r="J16" s="16">
        <f>0</f>
        <v/>
      </c>
      <c r="K16" s="16">
        <f>Inputs!$J$9*Scenarios!$E$14*Scenarios!$E$10</f>
        <v/>
      </c>
      <c r="L16" s="16">
        <f>Inputs!$K$9</f>
        <v/>
      </c>
      <c r="M16" s="16">
        <f>F16-H16-I16+J16+K16+L16</f>
        <v/>
      </c>
      <c r="N16" s="16">
        <f>Inputs!$C$9</f>
        <v/>
      </c>
      <c r="O16" s="16">
        <f>MAX(0,(E16-M16*N16)/N16)</f>
        <v/>
      </c>
      <c r="P16" s="16">
        <f>Inputs!$H$9*IF(Inputs!$I$9=1,Scenarios!$E$9,1)</f>
        <v/>
      </c>
      <c r="Q16" s="16">
        <f>MIN(O16,P16)</f>
        <v/>
      </c>
      <c r="R16" s="16">
        <f>M16+Q16</f>
        <v/>
      </c>
      <c r="S16" s="16">
        <f>R16*N16</f>
        <v/>
      </c>
      <c r="T16" s="16">
        <f>E16-S16</f>
        <v/>
      </c>
      <c r="U16" s="16">
        <f>MAX(0,T16)</f>
        <v/>
      </c>
      <c r="V16" s="16">
        <f>U16*Inputs!$M$9</f>
        <v/>
      </c>
      <c r="W16" s="16">
        <f>U16-V16</f>
        <v/>
      </c>
      <c r="X16" s="19">
        <f>(1+Scenarios!$E$11)^B16</f>
        <v/>
      </c>
      <c r="Y16" s="20">
        <f>((F16*N16+S16)/2)*Inputs!$L$9*X16*Scenarios!$E$15</f>
        <v/>
      </c>
      <c r="Z16" s="20">
        <f>V16*Inputs!$L$9*X16*Scenarios!$E$12</f>
        <v/>
      </c>
      <c r="AA16" s="20">
        <f>Q16*Inputs!$N$9</f>
        <v/>
      </c>
      <c r="AB16" s="20">
        <f>Y16+Z16+AA16</f>
        <v/>
      </c>
      <c r="AC16" s="21">
        <f>F16+Q16+K16+J16+L16-H16-I16-R16</f>
        <v/>
      </c>
    </row>
    <row r="17">
      <c r="A17" s="16" t="inlineStr">
        <is>
          <t>FY2028</t>
        </is>
      </c>
      <c r="B17" s="16" t="n">
        <v>2</v>
      </c>
      <c r="C17" s="16" t="inlineStr">
        <is>
          <t>Support Services</t>
        </is>
      </c>
      <c r="D17" s="17">
        <f>Inputs!$E$10+IF(Inputs!$F$10=1,Scenarios!$E$6,Scenarios!$E$7)</f>
        <v/>
      </c>
      <c r="E17" s="16">
        <f>E9*(1+D17)</f>
        <v/>
      </c>
      <c r="F17" s="16">
        <f>R9</f>
        <v/>
      </c>
      <c r="G17" s="18">
        <f>Inputs!$G$10*Scenarios!$E$8</f>
        <v/>
      </c>
      <c r="H17" s="16">
        <f>F17*G17</f>
        <v/>
      </c>
      <c r="I17" s="16">
        <f>0</f>
        <v/>
      </c>
      <c r="J17" s="16">
        <f>0</f>
        <v/>
      </c>
      <c r="K17" s="16">
        <f>Inputs!$J$10*Scenarios!$E$14*Scenarios!$E$10</f>
        <v/>
      </c>
      <c r="L17" s="16">
        <f>Inputs!$K$10</f>
        <v/>
      </c>
      <c r="M17" s="16">
        <f>F17-H17-I17+J17+K17+L17</f>
        <v/>
      </c>
      <c r="N17" s="16">
        <f>Inputs!$C$10</f>
        <v/>
      </c>
      <c r="O17" s="16">
        <f>MAX(0,(E17-M17*N17)/N17)</f>
        <v/>
      </c>
      <c r="P17" s="16">
        <f>Inputs!$H$10*IF(Inputs!$I$10=1,Scenarios!$E$9,1)</f>
        <v/>
      </c>
      <c r="Q17" s="16">
        <f>MIN(O17,P17)</f>
        <v/>
      </c>
      <c r="R17" s="16">
        <f>M17+Q17</f>
        <v/>
      </c>
      <c r="S17" s="16">
        <f>R17*N17</f>
        <v/>
      </c>
      <c r="T17" s="16">
        <f>E17-S17</f>
        <v/>
      </c>
      <c r="U17" s="16">
        <f>MAX(0,T17)</f>
        <v/>
      </c>
      <c r="V17" s="16">
        <f>U17*Inputs!$M$10</f>
        <v/>
      </c>
      <c r="W17" s="16">
        <f>U17-V17</f>
        <v/>
      </c>
      <c r="X17" s="19">
        <f>(1+Scenarios!$E$11)^B17</f>
        <v/>
      </c>
      <c r="Y17" s="20">
        <f>((F17*N17+S17)/2)*Inputs!$L$10*X17*Scenarios!$E$15</f>
        <v/>
      </c>
      <c r="Z17" s="20">
        <f>V17*Inputs!$L$10*X17*Scenarios!$E$12</f>
        <v/>
      </c>
      <c r="AA17" s="20">
        <f>Q17*Inputs!$N$10</f>
        <v/>
      </c>
      <c r="AB17" s="20">
        <f>Y17+Z17+AA17</f>
        <v/>
      </c>
      <c r="AC17" s="21">
        <f>F17+Q17+K17+J17+L17-H17-I17-R17</f>
        <v/>
      </c>
    </row>
    <row r="18">
      <c r="A18" s="16" t="inlineStr">
        <is>
          <t>FY2029</t>
        </is>
      </c>
      <c r="B18" s="16" t="n">
        <v>3</v>
      </c>
      <c r="C18" s="16" t="inlineStr">
        <is>
          <t>Registered Nurse</t>
        </is>
      </c>
      <c r="D18" s="17">
        <f>Inputs!$E$3+IF(Inputs!$F$3=1,Scenarios!$E$6,Scenarios!$E$7)</f>
        <v/>
      </c>
      <c r="E18" s="16">
        <f>E10*(1+D18)</f>
        <v/>
      </c>
      <c r="F18" s="16">
        <f>R10</f>
        <v/>
      </c>
      <c r="G18" s="18">
        <f>Inputs!$G$3*Scenarios!$E$8</f>
        <v/>
      </c>
      <c r="H18" s="16">
        <f>F18*G18</f>
        <v/>
      </c>
      <c r="I18" s="16">
        <f>0</f>
        <v/>
      </c>
      <c r="J18" s="16">
        <f>I20</f>
        <v/>
      </c>
      <c r="K18" s="16">
        <f>Inputs!$J$3*Scenarios!$E$14*Scenarios!$E$10</f>
        <v/>
      </c>
      <c r="L18" s="16">
        <f>Inputs!$K$3</f>
        <v/>
      </c>
      <c r="M18" s="16">
        <f>F18-H18-I18+J18+K18+L18</f>
        <v/>
      </c>
      <c r="N18" s="16">
        <f>Inputs!$C$3</f>
        <v/>
      </c>
      <c r="O18" s="16">
        <f>MAX(0,(E18-M18*N18)/N18)</f>
        <v/>
      </c>
      <c r="P18" s="16">
        <f>Inputs!$H$3*IF(Inputs!$I$3=1,Scenarios!$E$9,1)</f>
        <v/>
      </c>
      <c r="Q18" s="16">
        <f>MIN(O18,P18)</f>
        <v/>
      </c>
      <c r="R18" s="16">
        <f>M18+Q18</f>
        <v/>
      </c>
      <c r="S18" s="16">
        <f>R18*N18</f>
        <v/>
      </c>
      <c r="T18" s="16">
        <f>E18-S18</f>
        <v/>
      </c>
      <c r="U18" s="16">
        <f>MAX(0,T18)</f>
        <v/>
      </c>
      <c r="V18" s="16">
        <f>U18*Inputs!$M$3</f>
        <v/>
      </c>
      <c r="W18" s="16">
        <f>U18-V18</f>
        <v/>
      </c>
      <c r="X18" s="19">
        <f>(1+Scenarios!$E$11)^B18</f>
        <v/>
      </c>
      <c r="Y18" s="20">
        <f>((F18*N18+S18)/2)*Inputs!$L$3*X18*Scenarios!$E$15</f>
        <v/>
      </c>
      <c r="Z18" s="20">
        <f>V18*Inputs!$L$3*X18*Scenarios!$E$12</f>
        <v/>
      </c>
      <c r="AA18" s="20">
        <f>Q18*Inputs!$N$3</f>
        <v/>
      </c>
      <c r="AB18" s="20">
        <f>Y18+Z18+AA18</f>
        <v/>
      </c>
      <c r="AC18" s="21">
        <f>F18+Q18+K18+J18+L18-H18-I18-R18</f>
        <v/>
      </c>
    </row>
    <row r="19">
      <c r="A19" s="16" t="inlineStr">
        <is>
          <t>FY2029</t>
        </is>
      </c>
      <c r="B19" s="16" t="n">
        <v>3</v>
      </c>
      <c r="C19" s="16" t="inlineStr">
        <is>
          <t>Midwife</t>
        </is>
      </c>
      <c r="D19" s="17">
        <f>Inputs!$E$4+IF(Inputs!$F$4=1,Scenarios!$E$6,Scenarios!$E$7)</f>
        <v/>
      </c>
      <c r="E19" s="16">
        <f>E11*(1+D19)</f>
        <v/>
      </c>
      <c r="F19" s="16">
        <f>R11</f>
        <v/>
      </c>
      <c r="G19" s="18">
        <f>Inputs!$G$4*Scenarios!$E$8</f>
        <v/>
      </c>
      <c r="H19" s="16">
        <f>F19*G19</f>
        <v/>
      </c>
      <c r="I19" s="16">
        <f>0</f>
        <v/>
      </c>
      <c r="J19" s="16">
        <f>0</f>
        <v/>
      </c>
      <c r="K19" s="16">
        <f>Inputs!$J$4*Scenarios!$E$14*Scenarios!$E$10</f>
        <v/>
      </c>
      <c r="L19" s="16">
        <f>Inputs!$K$4</f>
        <v/>
      </c>
      <c r="M19" s="16">
        <f>F19-H19-I19+J19+K19+L19</f>
        <v/>
      </c>
      <c r="N19" s="16">
        <f>Inputs!$C$4</f>
        <v/>
      </c>
      <c r="O19" s="16">
        <f>MAX(0,(E19-M19*N19)/N19)</f>
        <v/>
      </c>
      <c r="P19" s="16">
        <f>Inputs!$H$4*IF(Inputs!$I$4=1,Scenarios!$E$9,1)</f>
        <v/>
      </c>
      <c r="Q19" s="16">
        <f>MIN(O19,P19)</f>
        <v/>
      </c>
      <c r="R19" s="16">
        <f>M19+Q19</f>
        <v/>
      </c>
      <c r="S19" s="16">
        <f>R19*N19</f>
        <v/>
      </c>
      <c r="T19" s="16">
        <f>E19-S19</f>
        <v/>
      </c>
      <c r="U19" s="16">
        <f>MAX(0,T19)</f>
        <v/>
      </c>
      <c r="V19" s="16">
        <f>U19*Inputs!$M$4</f>
        <v/>
      </c>
      <c r="W19" s="16">
        <f>U19-V19</f>
        <v/>
      </c>
      <c r="X19" s="19">
        <f>(1+Scenarios!$E$11)^B19</f>
        <v/>
      </c>
      <c r="Y19" s="20">
        <f>((F19*N19+S19)/2)*Inputs!$L$4*X19*Scenarios!$E$15</f>
        <v/>
      </c>
      <c r="Z19" s="20">
        <f>V19*Inputs!$L$4*X19*Scenarios!$E$12</f>
        <v/>
      </c>
      <c r="AA19" s="20">
        <f>Q19*Inputs!$N$4</f>
        <v/>
      </c>
      <c r="AB19" s="20">
        <f>Y19+Z19+AA19</f>
        <v/>
      </c>
      <c r="AC19" s="21">
        <f>F19+Q19+K19+J19+L19-H19-I19-R19</f>
        <v/>
      </c>
    </row>
    <row r="20">
      <c r="A20" s="16" t="inlineStr">
        <is>
          <t>FY2029</t>
        </is>
      </c>
      <c r="B20" s="16" t="n">
        <v>3</v>
      </c>
      <c r="C20" s="16" t="inlineStr">
        <is>
          <t>Enrolled Nurse</t>
        </is>
      </c>
      <c r="D20" s="17">
        <f>Inputs!$E$5+IF(Inputs!$F$5=1,Scenarios!$E$6,Scenarios!$E$7)</f>
        <v/>
      </c>
      <c r="E20" s="16">
        <f>E12*(1+D20)</f>
        <v/>
      </c>
      <c r="F20" s="16">
        <f>R12</f>
        <v/>
      </c>
      <c r="G20" s="18">
        <f>Inputs!$G$5*Scenarios!$E$8</f>
        <v/>
      </c>
      <c r="H20" s="16">
        <f>F20*G20</f>
        <v/>
      </c>
      <c r="I20" s="16">
        <f>F20*Scenarios!$E$13</f>
        <v/>
      </c>
      <c r="J20" s="16">
        <f>0</f>
        <v/>
      </c>
      <c r="K20" s="16">
        <f>Inputs!$J$5*Scenarios!$E$14*Scenarios!$E$10</f>
        <v/>
      </c>
      <c r="L20" s="16">
        <f>Inputs!$K$5</f>
        <v/>
      </c>
      <c r="M20" s="16">
        <f>F20-H20-I20+J20+K20+L20</f>
        <v/>
      </c>
      <c r="N20" s="16">
        <f>Inputs!$C$5</f>
        <v/>
      </c>
      <c r="O20" s="16">
        <f>MAX(0,(E20-M20*N20)/N20)</f>
        <v/>
      </c>
      <c r="P20" s="16">
        <f>Inputs!$H$5*IF(Inputs!$I$5=1,Scenarios!$E$9,1)</f>
        <v/>
      </c>
      <c r="Q20" s="16">
        <f>MIN(O20,P20)</f>
        <v/>
      </c>
      <c r="R20" s="16">
        <f>M20+Q20</f>
        <v/>
      </c>
      <c r="S20" s="16">
        <f>R20*N20</f>
        <v/>
      </c>
      <c r="T20" s="16">
        <f>E20-S20</f>
        <v/>
      </c>
      <c r="U20" s="16">
        <f>MAX(0,T20)</f>
        <v/>
      </c>
      <c r="V20" s="16">
        <f>U20*Inputs!$M$5</f>
        <v/>
      </c>
      <c r="W20" s="16">
        <f>U20-V20</f>
        <v/>
      </c>
      <c r="X20" s="19">
        <f>(1+Scenarios!$E$11)^B20</f>
        <v/>
      </c>
      <c r="Y20" s="20">
        <f>((F20*N20+S20)/2)*Inputs!$L$5*X20*Scenarios!$E$15</f>
        <v/>
      </c>
      <c r="Z20" s="20">
        <f>V20*Inputs!$L$5*X20*Scenarios!$E$12</f>
        <v/>
      </c>
      <c r="AA20" s="20">
        <f>Q20*Inputs!$N$5</f>
        <v/>
      </c>
      <c r="AB20" s="20">
        <f>Y20+Z20+AA20</f>
        <v/>
      </c>
      <c r="AC20" s="21">
        <f>F20+Q20+K20+J20+L20-H20-I20-R20</f>
        <v/>
      </c>
    </row>
    <row r="21">
      <c r="A21" s="16" t="inlineStr">
        <is>
          <t>FY2029</t>
        </is>
      </c>
      <c r="B21" s="16" t="n">
        <v>3</v>
      </c>
      <c r="C21" s="16" t="inlineStr">
        <is>
          <t>Medical Practitioner</t>
        </is>
      </c>
      <c r="D21" s="17">
        <f>Inputs!$E$6+IF(Inputs!$F$6=1,Scenarios!$E$6,Scenarios!$E$7)</f>
        <v/>
      </c>
      <c r="E21" s="16">
        <f>E13*(1+D21)</f>
        <v/>
      </c>
      <c r="F21" s="16">
        <f>R13</f>
        <v/>
      </c>
      <c r="G21" s="18">
        <f>Inputs!$G$6*Scenarios!$E$8</f>
        <v/>
      </c>
      <c r="H21" s="16">
        <f>F21*G21</f>
        <v/>
      </c>
      <c r="I21" s="16">
        <f>0</f>
        <v/>
      </c>
      <c r="J21" s="16">
        <f>0</f>
        <v/>
      </c>
      <c r="K21" s="16">
        <f>Inputs!$J$6*Scenarios!$E$14*Scenarios!$E$10</f>
        <v/>
      </c>
      <c r="L21" s="16">
        <f>Inputs!$K$6</f>
        <v/>
      </c>
      <c r="M21" s="16">
        <f>F21-H21-I21+J21+K21+L21</f>
        <v/>
      </c>
      <c r="N21" s="16">
        <f>Inputs!$C$6</f>
        <v/>
      </c>
      <c r="O21" s="16">
        <f>MAX(0,(E21-M21*N21)/N21)</f>
        <v/>
      </c>
      <c r="P21" s="16">
        <f>Inputs!$H$6*IF(Inputs!$I$6=1,Scenarios!$E$9,1)</f>
        <v/>
      </c>
      <c r="Q21" s="16">
        <f>MIN(O21,P21)</f>
        <v/>
      </c>
      <c r="R21" s="16">
        <f>M21+Q21</f>
        <v/>
      </c>
      <c r="S21" s="16">
        <f>R21*N21</f>
        <v/>
      </c>
      <c r="T21" s="16">
        <f>E21-S21</f>
        <v/>
      </c>
      <c r="U21" s="16">
        <f>MAX(0,T21)</f>
        <v/>
      </c>
      <c r="V21" s="16">
        <f>U21*Inputs!$M$6</f>
        <v/>
      </c>
      <c r="W21" s="16">
        <f>U21-V21</f>
        <v/>
      </c>
      <c r="X21" s="19">
        <f>(1+Scenarios!$E$11)^B21</f>
        <v/>
      </c>
      <c r="Y21" s="20">
        <f>((F21*N21+S21)/2)*Inputs!$L$6*X21*Scenarios!$E$15</f>
        <v/>
      </c>
      <c r="Z21" s="20">
        <f>V21*Inputs!$L$6*X21*Scenarios!$E$12</f>
        <v/>
      </c>
      <c r="AA21" s="20">
        <f>Q21*Inputs!$N$6</f>
        <v/>
      </c>
      <c r="AB21" s="20">
        <f>Y21+Z21+AA21</f>
        <v/>
      </c>
      <c r="AC21" s="21">
        <f>F21+Q21+K21+J21+L21-H21-I21-R21</f>
        <v/>
      </c>
    </row>
    <row r="22">
      <c r="A22" s="16" t="inlineStr">
        <is>
          <t>FY2029</t>
        </is>
      </c>
      <c r="B22" s="16" t="n">
        <v>3</v>
      </c>
      <c r="C22" s="16" t="inlineStr">
        <is>
          <t>Allied Health</t>
        </is>
      </c>
      <c r="D22" s="17">
        <f>Inputs!$E$7+IF(Inputs!$F$7=1,Scenarios!$E$6,Scenarios!$E$7)</f>
        <v/>
      </c>
      <c r="E22" s="16">
        <f>E14*(1+D22)</f>
        <v/>
      </c>
      <c r="F22" s="16">
        <f>R14</f>
        <v/>
      </c>
      <c r="G22" s="18">
        <f>Inputs!$G$7*Scenarios!$E$8</f>
        <v/>
      </c>
      <c r="H22" s="16">
        <f>F22*G22</f>
        <v/>
      </c>
      <c r="I22" s="16">
        <f>0</f>
        <v/>
      </c>
      <c r="J22" s="16">
        <f>0</f>
        <v/>
      </c>
      <c r="K22" s="16">
        <f>Inputs!$J$7*Scenarios!$E$14*Scenarios!$E$10</f>
        <v/>
      </c>
      <c r="L22" s="16">
        <f>Inputs!$K$7</f>
        <v/>
      </c>
      <c r="M22" s="16">
        <f>F22-H22-I22+J22+K22+L22</f>
        <v/>
      </c>
      <c r="N22" s="16">
        <f>Inputs!$C$7</f>
        <v/>
      </c>
      <c r="O22" s="16">
        <f>MAX(0,(E22-M22*N22)/N22)</f>
        <v/>
      </c>
      <c r="P22" s="16">
        <f>Inputs!$H$7*IF(Inputs!$I$7=1,Scenarios!$E$9,1)</f>
        <v/>
      </c>
      <c r="Q22" s="16">
        <f>MIN(O22,P22)</f>
        <v/>
      </c>
      <c r="R22" s="16">
        <f>M22+Q22</f>
        <v/>
      </c>
      <c r="S22" s="16">
        <f>R22*N22</f>
        <v/>
      </c>
      <c r="T22" s="16">
        <f>E22-S22</f>
        <v/>
      </c>
      <c r="U22" s="16">
        <f>MAX(0,T22)</f>
        <v/>
      </c>
      <c r="V22" s="16">
        <f>U22*Inputs!$M$7</f>
        <v/>
      </c>
      <c r="W22" s="16">
        <f>U22-V22</f>
        <v/>
      </c>
      <c r="X22" s="19">
        <f>(1+Scenarios!$E$11)^B22</f>
        <v/>
      </c>
      <c r="Y22" s="20">
        <f>((F22*N22+S22)/2)*Inputs!$L$7*X22*Scenarios!$E$15</f>
        <v/>
      </c>
      <c r="Z22" s="20">
        <f>V22*Inputs!$L$7*X22*Scenarios!$E$12</f>
        <v/>
      </c>
      <c r="AA22" s="20">
        <f>Q22*Inputs!$N$7</f>
        <v/>
      </c>
      <c r="AB22" s="20">
        <f>Y22+Z22+AA22</f>
        <v/>
      </c>
      <c r="AC22" s="21">
        <f>F22+Q22+K22+J22+L22-H22-I22-R22</f>
        <v/>
      </c>
    </row>
    <row r="23">
      <c r="A23" s="16" t="inlineStr">
        <is>
          <t>FY2029</t>
        </is>
      </c>
      <c r="B23" s="16" t="n">
        <v>3</v>
      </c>
      <c r="C23" s="16" t="inlineStr">
        <is>
          <t>Care Worker</t>
        </is>
      </c>
      <c r="D23" s="17">
        <f>Inputs!$E$8+IF(Inputs!$F$8=1,Scenarios!$E$6,Scenarios!$E$7)</f>
        <v/>
      </c>
      <c r="E23" s="16">
        <f>E15*(1+D23)</f>
        <v/>
      </c>
      <c r="F23" s="16">
        <f>R15</f>
        <v/>
      </c>
      <c r="G23" s="18">
        <f>Inputs!$G$8*Scenarios!$E$8</f>
        <v/>
      </c>
      <c r="H23" s="16">
        <f>F23*G23</f>
        <v/>
      </c>
      <c r="I23" s="16">
        <f>0</f>
        <v/>
      </c>
      <c r="J23" s="16">
        <f>0</f>
        <v/>
      </c>
      <c r="K23" s="16">
        <f>Inputs!$J$8*Scenarios!$E$14*Scenarios!$E$10</f>
        <v/>
      </c>
      <c r="L23" s="16">
        <f>Inputs!$K$8</f>
        <v/>
      </c>
      <c r="M23" s="16">
        <f>F23-H23-I23+J23+K23+L23</f>
        <v/>
      </c>
      <c r="N23" s="16">
        <f>Inputs!$C$8</f>
        <v/>
      </c>
      <c r="O23" s="16">
        <f>MAX(0,(E23-M23*N23)/N23)</f>
        <v/>
      </c>
      <c r="P23" s="16">
        <f>Inputs!$H$8*IF(Inputs!$I$8=1,Scenarios!$E$9,1)</f>
        <v/>
      </c>
      <c r="Q23" s="16">
        <f>MIN(O23,P23)</f>
        <v/>
      </c>
      <c r="R23" s="16">
        <f>M23+Q23</f>
        <v/>
      </c>
      <c r="S23" s="16">
        <f>R23*N23</f>
        <v/>
      </c>
      <c r="T23" s="16">
        <f>E23-S23</f>
        <v/>
      </c>
      <c r="U23" s="16">
        <f>MAX(0,T23)</f>
        <v/>
      </c>
      <c r="V23" s="16">
        <f>U23*Inputs!$M$8</f>
        <v/>
      </c>
      <c r="W23" s="16">
        <f>U23-V23</f>
        <v/>
      </c>
      <c r="X23" s="19">
        <f>(1+Scenarios!$E$11)^B23</f>
        <v/>
      </c>
      <c r="Y23" s="20">
        <f>((F23*N23+S23)/2)*Inputs!$L$8*X23*Scenarios!$E$15</f>
        <v/>
      </c>
      <c r="Z23" s="20">
        <f>V23*Inputs!$L$8*X23*Scenarios!$E$12</f>
        <v/>
      </c>
      <c r="AA23" s="20">
        <f>Q23*Inputs!$N$8</f>
        <v/>
      </c>
      <c r="AB23" s="20">
        <f>Y23+Z23+AA23</f>
        <v/>
      </c>
      <c r="AC23" s="21">
        <f>F23+Q23+K23+J23+L23-H23-I23-R23</f>
        <v/>
      </c>
    </row>
    <row r="24">
      <c r="A24" s="16" t="inlineStr">
        <is>
          <t>FY2029</t>
        </is>
      </c>
      <c r="B24" s="16" t="n">
        <v>3</v>
      </c>
      <c r="C24" s="16" t="inlineStr">
        <is>
          <t>Administration</t>
        </is>
      </c>
      <c r="D24" s="17">
        <f>Inputs!$E$9+IF(Inputs!$F$9=1,Scenarios!$E$6,Scenarios!$E$7)</f>
        <v/>
      </c>
      <c r="E24" s="16">
        <f>E16*(1+D24)</f>
        <v/>
      </c>
      <c r="F24" s="16">
        <f>R16</f>
        <v/>
      </c>
      <c r="G24" s="18">
        <f>Inputs!$G$9*Scenarios!$E$8</f>
        <v/>
      </c>
      <c r="H24" s="16">
        <f>F24*G24</f>
        <v/>
      </c>
      <c r="I24" s="16">
        <f>0</f>
        <v/>
      </c>
      <c r="J24" s="16">
        <f>0</f>
        <v/>
      </c>
      <c r="K24" s="16">
        <f>Inputs!$J$9*Scenarios!$E$14*Scenarios!$E$10</f>
        <v/>
      </c>
      <c r="L24" s="16">
        <f>Inputs!$K$9</f>
        <v/>
      </c>
      <c r="M24" s="16">
        <f>F24-H24-I24+J24+K24+L24</f>
        <v/>
      </c>
      <c r="N24" s="16">
        <f>Inputs!$C$9</f>
        <v/>
      </c>
      <c r="O24" s="16">
        <f>MAX(0,(E24-M24*N24)/N24)</f>
        <v/>
      </c>
      <c r="P24" s="16">
        <f>Inputs!$H$9*IF(Inputs!$I$9=1,Scenarios!$E$9,1)</f>
        <v/>
      </c>
      <c r="Q24" s="16">
        <f>MIN(O24,P24)</f>
        <v/>
      </c>
      <c r="R24" s="16">
        <f>M24+Q24</f>
        <v/>
      </c>
      <c r="S24" s="16">
        <f>R24*N24</f>
        <v/>
      </c>
      <c r="T24" s="16">
        <f>E24-S24</f>
        <v/>
      </c>
      <c r="U24" s="16">
        <f>MAX(0,T24)</f>
        <v/>
      </c>
      <c r="V24" s="16">
        <f>U24*Inputs!$M$9</f>
        <v/>
      </c>
      <c r="W24" s="16">
        <f>U24-V24</f>
        <v/>
      </c>
      <c r="X24" s="19">
        <f>(1+Scenarios!$E$11)^B24</f>
        <v/>
      </c>
      <c r="Y24" s="20">
        <f>((F24*N24+S24)/2)*Inputs!$L$9*X24*Scenarios!$E$15</f>
        <v/>
      </c>
      <c r="Z24" s="20">
        <f>V24*Inputs!$L$9*X24*Scenarios!$E$12</f>
        <v/>
      </c>
      <c r="AA24" s="20">
        <f>Q24*Inputs!$N$9</f>
        <v/>
      </c>
      <c r="AB24" s="20">
        <f>Y24+Z24+AA24</f>
        <v/>
      </c>
      <c r="AC24" s="21">
        <f>F24+Q24+K24+J24+L24-H24-I24-R24</f>
        <v/>
      </c>
    </row>
    <row r="25">
      <c r="A25" s="16" t="inlineStr">
        <is>
          <t>FY2029</t>
        </is>
      </c>
      <c r="B25" s="16" t="n">
        <v>3</v>
      </c>
      <c r="C25" s="16" t="inlineStr">
        <is>
          <t>Support Services</t>
        </is>
      </c>
      <c r="D25" s="17">
        <f>Inputs!$E$10+IF(Inputs!$F$10=1,Scenarios!$E$6,Scenarios!$E$7)</f>
        <v/>
      </c>
      <c r="E25" s="16">
        <f>E17*(1+D25)</f>
        <v/>
      </c>
      <c r="F25" s="16">
        <f>R17</f>
        <v/>
      </c>
      <c r="G25" s="18">
        <f>Inputs!$G$10*Scenarios!$E$8</f>
        <v/>
      </c>
      <c r="H25" s="16">
        <f>F25*G25</f>
        <v/>
      </c>
      <c r="I25" s="16">
        <f>0</f>
        <v/>
      </c>
      <c r="J25" s="16">
        <f>0</f>
        <v/>
      </c>
      <c r="K25" s="16">
        <f>Inputs!$J$10*Scenarios!$E$14*Scenarios!$E$10</f>
        <v/>
      </c>
      <c r="L25" s="16">
        <f>Inputs!$K$10</f>
        <v/>
      </c>
      <c r="M25" s="16">
        <f>F25-H25-I25+J25+K25+L25</f>
        <v/>
      </c>
      <c r="N25" s="16">
        <f>Inputs!$C$10</f>
        <v/>
      </c>
      <c r="O25" s="16">
        <f>MAX(0,(E25-M25*N25)/N25)</f>
        <v/>
      </c>
      <c r="P25" s="16">
        <f>Inputs!$H$10*IF(Inputs!$I$10=1,Scenarios!$E$9,1)</f>
        <v/>
      </c>
      <c r="Q25" s="16">
        <f>MIN(O25,P25)</f>
        <v/>
      </c>
      <c r="R25" s="16">
        <f>M25+Q25</f>
        <v/>
      </c>
      <c r="S25" s="16">
        <f>R25*N25</f>
        <v/>
      </c>
      <c r="T25" s="16">
        <f>E25-S25</f>
        <v/>
      </c>
      <c r="U25" s="16">
        <f>MAX(0,T25)</f>
        <v/>
      </c>
      <c r="V25" s="16">
        <f>U25*Inputs!$M$10</f>
        <v/>
      </c>
      <c r="W25" s="16">
        <f>U25-V25</f>
        <v/>
      </c>
      <c r="X25" s="19">
        <f>(1+Scenarios!$E$11)^B25</f>
        <v/>
      </c>
      <c r="Y25" s="20">
        <f>((F25*N25+S25)/2)*Inputs!$L$10*X25*Scenarios!$E$15</f>
        <v/>
      </c>
      <c r="Z25" s="20">
        <f>V25*Inputs!$L$10*X25*Scenarios!$E$12</f>
        <v/>
      </c>
      <c r="AA25" s="20">
        <f>Q25*Inputs!$N$10</f>
        <v/>
      </c>
      <c r="AB25" s="20">
        <f>Y25+Z25+AA25</f>
        <v/>
      </c>
      <c r="AC25" s="21">
        <f>F25+Q25+K25+J25+L25-H25-I25-R25</f>
        <v/>
      </c>
    </row>
  </sheetData>
  <conditionalFormatting sqref="T2:T25">
    <cfRule type="cellIs" priority="1" operator="greaterThan" dxfId="0">
      <formula>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Summary - selected scenario:</t>
        </is>
      </c>
      <c r="C1" s="2">
        <f>Scenarios!C3</f>
        <v/>
      </c>
    </row>
    <row r="3">
      <c r="A3" s="7" t="inlineStr">
        <is>
          <t>Metric</t>
        </is>
      </c>
      <c r="B3" s="7" t="inlineStr">
        <is>
          <t>FY2027</t>
        </is>
      </c>
      <c r="C3" s="7" t="inlineStr">
        <is>
          <t>FY2028</t>
        </is>
      </c>
      <c r="D3" s="7" t="inlineStr">
        <is>
          <t>FY2029</t>
        </is>
      </c>
    </row>
    <row r="4">
      <c r="A4" t="inlineStr">
        <is>
          <t>Demand FTE</t>
        </is>
      </c>
      <c r="B4" s="22">
        <f>SUMIFS(Model!$E:$E,Model!$A:$A,"FY2027")</f>
        <v/>
      </c>
      <c r="C4" s="22">
        <f>SUMIFS(Model!$E:$E,Model!$A:$A,"FY2028")</f>
        <v/>
      </c>
      <c r="D4" s="22">
        <f>SUMIFS(Model!$E:$E,Model!$A:$A,"FY2029")</f>
        <v/>
      </c>
    </row>
    <row r="5">
      <c r="A5" t="inlineStr">
        <is>
          <t>Supply FTE</t>
        </is>
      </c>
      <c r="B5" s="22">
        <f>SUMIFS(Model!$S:$S,Model!$A:$A,"FY2027")</f>
        <v/>
      </c>
      <c r="C5" s="22">
        <f>SUMIFS(Model!$S:$S,Model!$A:$A,"FY2028")</f>
        <v/>
      </c>
      <c r="D5" s="22">
        <f>SUMIFS(Model!$S:$S,Model!$A:$A,"FY2029")</f>
        <v/>
      </c>
    </row>
    <row r="6">
      <c r="A6" t="inlineStr">
        <is>
          <t>Gap FTE</t>
        </is>
      </c>
      <c r="B6" s="22">
        <f>SUMIFS(Model!$T:$T,Model!$A:$A,"FY2027")</f>
        <v/>
      </c>
      <c r="C6" s="22">
        <f>SUMIFS(Model!$T:$T,Model!$A:$A,"FY2028")</f>
        <v/>
      </c>
      <c r="D6" s="22">
        <f>SUMIFS(Model!$T:$T,Model!$A:$A,"FY2029")</f>
        <v/>
      </c>
    </row>
    <row r="7">
      <c r="A7" t="inlineStr">
        <is>
          <t>Shortage FTE</t>
        </is>
      </c>
      <c r="B7" s="22">
        <f>SUMIFS(Model!$U:$U,Model!$A:$A,"FY2027")</f>
        <v/>
      </c>
      <c r="C7" s="22">
        <f>SUMIFS(Model!$U:$U,Model!$A:$A,"FY2028")</f>
        <v/>
      </c>
      <c r="D7" s="22">
        <f>SUMIFS(Model!$U:$U,Model!$A:$A,"FY2029")</f>
        <v/>
      </c>
    </row>
    <row r="8">
      <c r="A8" t="inlineStr">
        <is>
          <t>Required hires</t>
        </is>
      </c>
      <c r="B8" s="22">
        <f>SUMIFS(Model!$O:$O,Model!$A:$A,"FY2027")</f>
        <v/>
      </c>
      <c r="C8" s="22">
        <f>SUMIFS(Model!$O:$O,Model!$A:$A,"FY2028")</f>
        <v/>
      </c>
      <c r="D8" s="22">
        <f>SUMIFS(Model!$O:$O,Model!$A:$A,"FY2029")</f>
        <v/>
      </c>
    </row>
    <row r="9">
      <c r="A9" t="inlineStr">
        <is>
          <t>Capacity</t>
        </is>
      </c>
      <c r="B9" s="22">
        <f>SUMIFS(Model!$P:$P,Model!$A:$A,"FY2027")</f>
        <v/>
      </c>
      <c r="C9" s="22">
        <f>SUMIFS(Model!$P:$P,Model!$A:$A,"FY2028")</f>
        <v/>
      </c>
      <c r="D9" s="22">
        <f>SUMIFS(Model!$P:$P,Model!$A:$A,"FY2029")</f>
        <v/>
      </c>
    </row>
    <row r="10">
      <c r="A10" t="inlineStr">
        <is>
          <t>Hires</t>
        </is>
      </c>
      <c r="B10" s="22">
        <f>SUMIFS(Model!$Q:$Q,Model!$A:$A,"FY2027")</f>
        <v/>
      </c>
      <c r="C10" s="22">
        <f>SUMIFS(Model!$Q:$Q,Model!$A:$A,"FY2028")</f>
        <v/>
      </c>
      <c r="D10" s="22">
        <f>SUMIFS(Model!$Q:$Q,Model!$A:$A,"FY2029")</f>
        <v/>
      </c>
    </row>
    <row r="11">
      <c r="A11" t="inlineStr">
        <is>
          <t>Separations</t>
        </is>
      </c>
      <c r="B11" s="22">
        <f>SUMIFS(Model!$H:$H,Model!$A:$A,"FY2027")</f>
        <v/>
      </c>
      <c r="C11" s="22">
        <f>SUMIFS(Model!$H:$H,Model!$A:$A,"FY2028")</f>
        <v/>
      </c>
      <c r="D11" s="22">
        <f>SUMIFS(Model!$H:$H,Model!$A:$A,"FY2029")</f>
        <v/>
      </c>
    </row>
    <row r="12">
      <c r="A12" t="inlineStr">
        <is>
          <t>HC end</t>
        </is>
      </c>
      <c r="B12" s="22">
        <f>SUMIFS(Model!$R:$R,Model!$A:$A,"FY2027")</f>
        <v/>
      </c>
      <c r="C12" s="22">
        <f>SUMIFS(Model!$R:$R,Model!$A:$A,"FY2028")</f>
        <v/>
      </c>
      <c r="D12" s="22">
        <f>SUMIFS(Model!$R:$R,Model!$A:$A,"FY2029")</f>
        <v/>
      </c>
    </row>
    <row r="13">
      <c r="A13" t="inlineStr">
        <is>
          <t>Agency FTE</t>
        </is>
      </c>
      <c r="B13" s="22">
        <f>SUMIFS(Model!$V:$V,Model!$A:$A,"FY2027")</f>
        <v/>
      </c>
      <c r="C13" s="22">
        <f>SUMIFS(Model!$V:$V,Model!$A:$A,"FY2028")</f>
        <v/>
      </c>
      <c r="D13" s="22">
        <f>SUMIFS(Model!$V:$V,Model!$A:$A,"FY2029")</f>
        <v/>
      </c>
    </row>
    <row r="14">
      <c r="A14" t="inlineStr">
        <is>
          <t>Unfilled FTE</t>
        </is>
      </c>
      <c r="B14" s="22">
        <f>SUMIFS(Model!$W:$W,Model!$A:$A,"FY2027")</f>
        <v/>
      </c>
      <c r="C14" s="22">
        <f>SUMIFS(Model!$W:$W,Model!$A:$A,"FY2028")</f>
        <v/>
      </c>
      <c r="D14" s="22">
        <f>SUMIFS(Model!$W:$W,Model!$A:$A,"FY2029")</f>
        <v/>
      </c>
    </row>
    <row r="15">
      <c r="A15" t="inlineStr">
        <is>
          <t>Employee cost</t>
        </is>
      </c>
      <c r="B15" s="23">
        <f>SUMIFS(Model!$Y:$Y,Model!$A:$A,"FY2027")</f>
        <v/>
      </c>
      <c r="C15" s="23">
        <f>SUMIFS(Model!$Y:$Y,Model!$A:$A,"FY2028")</f>
        <v/>
      </c>
      <c r="D15" s="23">
        <f>SUMIFS(Model!$Y:$Y,Model!$A:$A,"FY2029")</f>
        <v/>
      </c>
    </row>
    <row r="16">
      <c r="A16" t="inlineStr">
        <is>
          <t>Agency cost</t>
        </is>
      </c>
      <c r="B16" s="23">
        <f>SUMIFS(Model!$Z:$Z,Model!$A:$A,"FY2027")</f>
        <v/>
      </c>
      <c r="C16" s="23">
        <f>SUMIFS(Model!$Z:$Z,Model!$A:$A,"FY2028")</f>
        <v/>
      </c>
      <c r="D16" s="23">
        <f>SUMIFS(Model!$Z:$Z,Model!$A:$A,"FY2029")</f>
        <v/>
      </c>
    </row>
    <row r="17">
      <c r="A17" t="inlineStr">
        <is>
          <t>Recruitment cost</t>
        </is>
      </c>
      <c r="B17" s="23">
        <f>SUMIFS(Model!$AA:$AA,Model!$A:$A,"FY2027")</f>
        <v/>
      </c>
      <c r="C17" s="23">
        <f>SUMIFS(Model!$AA:$AA,Model!$A:$A,"FY2028")</f>
        <v/>
      </c>
      <c r="D17" s="23">
        <f>SUMIFS(Model!$AA:$AA,Model!$A:$A,"FY2029")</f>
        <v/>
      </c>
    </row>
    <row r="18">
      <c r="A18" t="inlineStr">
        <is>
          <t>Total cost</t>
        </is>
      </c>
      <c r="B18" s="23">
        <f>SUMIFS(Model!$AB:$AB,Model!$A:$A,"FY2027")</f>
        <v/>
      </c>
      <c r="C18" s="23">
        <f>SUMIFS(Model!$AB:$AB,Model!$A:$A,"FY2028")</f>
        <v/>
      </c>
      <c r="D18" s="23">
        <f>SUMIFS(Model!$AB:$AB,Model!$A:$A,"FY2029")</f>
        <v/>
      </c>
    </row>
    <row r="19">
      <c r="A19" t="inlineStr">
        <is>
          <t>Gap % of demand</t>
        </is>
      </c>
      <c r="B19" s="24">
        <f>B6/B4</f>
        <v/>
      </c>
      <c r="C19" s="24">
        <f>C6/C4</f>
        <v/>
      </c>
      <c r="D19" s="24">
        <f>D6/D4</f>
        <v/>
      </c>
    </row>
    <row r="20">
      <c r="A20" t="inlineStr">
        <is>
          <t>Capacity utilisation (required / capacity)</t>
        </is>
      </c>
      <c r="B20" s="25">
        <f>B8/B9</f>
        <v/>
      </c>
      <c r="C20" s="25">
        <f>C8/C9</f>
        <v/>
      </c>
      <c r="D20" s="25">
        <f>D8/D9</f>
        <v/>
      </c>
    </row>
    <row r="22">
      <c r="A22" s="1" t="inlineStr">
        <is>
          <t>3-year total cost</t>
        </is>
      </c>
      <c r="B22" s="23">
        <f>SUM(B18:D18)</f>
        <v/>
      </c>
    </row>
    <row r="23">
      <c r="A23" s="1" t="inlineStr">
        <is>
          <t>Max |stock-flow identity error| (should be 0)</t>
        </is>
      </c>
      <c r="B23">
        <f>MAX(Model!AC2:AC25)-MIN(Model!AC2:AC25)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(computed by src/scenario_model.py at job family x location level; values, not formulas)</t>
        </is>
      </c>
    </row>
    <row r="3">
      <c r="A3" s="7" t="inlineStr">
        <is>
          <t>Assumption</t>
        </is>
      </c>
      <c r="B3" s="7" t="inlineStr">
        <is>
          <t>FY2029 shortage FTE (low)</t>
        </is>
      </c>
      <c r="C3" s="7" t="inlineStr">
        <is>
          <t>FY2029 shortage FTE (high)</t>
        </is>
      </c>
      <c r="D3" s="7" t="inlineStr">
        <is>
          <t>Swing (FTE)</t>
        </is>
      </c>
      <c r="E3" s="7" t="inlineStr">
        <is>
          <t>3-yr cost low ($)</t>
        </is>
      </c>
      <c r="F3" s="7" t="inlineStr">
        <is>
          <t>3-yr cost high ($)</t>
        </is>
      </c>
    </row>
    <row r="4">
      <c r="A4" s="26" t="inlineStr">
        <is>
          <t>Recruitment capacity x0.8 / x1.2</t>
        </is>
      </c>
      <c r="B4" s="26" t="n">
        <v>95.25</v>
      </c>
      <c r="C4" s="26" t="n">
        <v>12.98</v>
      </c>
      <c r="D4" s="26" t="n">
        <v>82.27</v>
      </c>
      <c r="E4" s="23" t="n">
        <v>804772274.17</v>
      </c>
      <c r="F4" s="23" t="n">
        <v>812930104.8</v>
      </c>
    </row>
    <row r="5">
      <c r="A5" s="26" t="inlineStr">
        <is>
          <t>Attrition rate x0.8 / x1.2</t>
        </is>
      </c>
      <c r="B5" s="26" t="n">
        <v>13.63</v>
      </c>
      <c r="C5" s="26" t="n">
        <v>75.2</v>
      </c>
      <c r="D5" s="26" t="n">
        <v>61.57</v>
      </c>
      <c r="E5" s="23" t="n">
        <v>811379645.29</v>
      </c>
      <c r="F5" s="23" t="n">
        <v>808361960.28</v>
      </c>
    </row>
    <row r="6">
      <c r="A6" s="26" t="inlineStr">
        <is>
          <t>FTE per head x0.95 / x1.05</t>
        </is>
      </c>
      <c r="B6" s="26" t="n">
        <v>55.62</v>
      </c>
      <c r="C6" s="26" t="n">
        <v>16.05</v>
      </c>
      <c r="D6" s="26" t="n">
        <v>39.57</v>
      </c>
      <c r="E6" s="23" t="n">
        <v>800756311.46</v>
      </c>
      <c r="F6" s="23" t="n">
        <v>819257061.36</v>
      </c>
    </row>
    <row r="7">
      <c r="A7" s="26" t="inlineStr">
        <is>
          <t>Demand growth -1pp / +1pp</t>
        </is>
      </c>
      <c r="B7" s="26" t="n">
        <v>18.67</v>
      </c>
      <c r="C7" s="26" t="n">
        <v>42.44</v>
      </c>
      <c r="D7" s="26" t="n">
        <v>23.77</v>
      </c>
      <c r="E7" s="23" t="n">
        <v>798710928.4</v>
      </c>
      <c r="F7" s="23" t="n">
        <v>822201286.75</v>
      </c>
    </row>
    <row r="8">
      <c r="A8" s="26" t="inlineStr">
        <is>
          <t>EN-&gt;RN conversion x0 / x2</t>
        </is>
      </c>
      <c r="B8" s="26" t="n">
        <v>23.11</v>
      </c>
      <c r="C8" s="26" t="n">
        <v>33.29</v>
      </c>
      <c r="D8" s="26" t="n">
        <v>10.18</v>
      </c>
      <c r="E8" s="23" t="n">
        <v>810725507.51</v>
      </c>
      <c r="F8" s="23" t="n">
        <v>810301603.99</v>
      </c>
    </row>
    <row r="9">
      <c r="A9" s="26" t="inlineStr">
        <is>
          <t>Wage growth -1pp / +1pp</t>
        </is>
      </c>
      <c r="B9" s="26" t="n">
        <v>27.91</v>
      </c>
      <c r="C9" s="26" t="n">
        <v>27.91</v>
      </c>
      <c r="D9" s="26" t="n">
        <v>0</v>
      </c>
      <c r="E9" s="23" t="n">
        <v>794725459.98</v>
      </c>
      <c r="F9" s="23" t="n">
        <v>826244360.09</v>
      </c>
    </row>
    <row r="10">
      <c r="A10" s="26" t="inlineStr">
        <is>
          <t>Agency premium 1.3 / 2.0</t>
        </is>
      </c>
      <c r="B10" s="26" t="n">
        <v>27.91</v>
      </c>
      <c r="C10" s="26" t="n">
        <v>27.91</v>
      </c>
      <c r="D10" s="26" t="n">
        <v>0</v>
      </c>
      <c r="E10" s="23" t="n">
        <v>807577794.5700001</v>
      </c>
      <c r="F10" s="23" t="n">
        <v>813184174.1799999</v>
      </c>
    </row>
    <row r="13">
      <c r="A13" s="1" t="inlineStr">
        <is>
          <t>Monte Carlo (2,000 draws, Baseline structure)</t>
        </is>
      </c>
    </row>
    <row r="14">
      <c r="A14" s="7" t="inlineStr">
        <is>
          <t>Outcome</t>
        </is>
      </c>
      <c r="B14" s="7" t="inlineStr">
        <is>
          <t>P10</t>
        </is>
      </c>
      <c r="C14" s="7" t="inlineStr">
        <is>
          <t>P50</t>
        </is>
      </c>
      <c r="D14" s="7" t="inlineStr">
        <is>
          <t>P90</t>
        </is>
      </c>
    </row>
    <row r="15">
      <c r="A15" t="inlineStr">
        <is>
          <t>shortage_FY2029</t>
        </is>
      </c>
      <c r="B15" s="22" t="n">
        <v>17.7</v>
      </c>
      <c r="C15" s="22" t="n">
        <v>47.1</v>
      </c>
      <c r="D15" s="22" t="n">
        <v>110.6</v>
      </c>
    </row>
    <row r="16">
      <c r="A16" t="inlineStr">
        <is>
          <t>gap_FY2029</t>
        </is>
      </c>
      <c r="B16" s="22" t="n">
        <v>17.7</v>
      </c>
      <c r="C16" s="22" t="n">
        <v>47.1</v>
      </c>
      <c r="D16" s="22" t="n">
        <v>110.6</v>
      </c>
    </row>
    <row r="17">
      <c r="A17" t="inlineStr">
        <is>
          <t>agency_cost_3y</t>
        </is>
      </c>
      <c r="B17" s="22" t="n">
        <v>10244470.2</v>
      </c>
      <c r="C17" s="22" t="n">
        <v>17481502.7</v>
      </c>
      <c r="D17" s="22" t="n">
        <v>30267887.9</v>
      </c>
    </row>
    <row r="18">
      <c r="A18" t="inlineStr">
        <is>
          <t>total_cost_3y</t>
        </is>
      </c>
      <c r="B18" s="22" t="n">
        <v>796656516.7</v>
      </c>
      <c r="C18" s="22" t="n">
        <v>807852976.8</v>
      </c>
      <c r="D18" s="22" t="n">
        <v>818990942.6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  <col width="22" customWidth="1" min="3" max="3"/>
    <col width="90" customWidth="1" min="4" max="4"/>
  </cols>
  <sheetData>
    <row r="1">
      <c r="A1" s="1" t="inlineStr">
        <is>
          <t>Real public data behind the assumptions (see docs/source_register.md for links)</t>
        </is>
      </c>
    </row>
    <row r="3">
      <c r="A3" s="7" t="inlineStr">
        <is>
          <t>assumption</t>
        </is>
      </c>
      <c r="B3" s="7" t="inlineStr">
        <is>
          <t>evidence</t>
        </is>
      </c>
      <c r="C3" s="7" t="inlineStr">
        <is>
          <t>provenance</t>
        </is>
      </c>
      <c r="D3" s="7" t="inlineStr">
        <is>
          <t>value</t>
        </is>
      </c>
    </row>
    <row r="4">
      <c r="A4" t="inlineStr">
        <is>
          <t>Demand growth (baseline)</t>
        </is>
      </c>
      <c r="B4" t="inlineStr">
        <is>
          <t>JSA Employment Projections 2025-35 10-yr CAGR by occupation x WA/AUS adjustment</t>
        </is>
      </c>
      <c r="C4" s="3" t="inlineStr">
        <is>
          <t>REAL</t>
        </is>
      </c>
      <c r="D4" t="inlineStr">
        <is>
          <t>Registered Nurse: 2.37%; Midwife: 2.43%; Enrolled Nurse: 1.98%; Medical Practitioner: 2.92%; Allied Health: 3.03%; Care Worker: 1.84%; Administration: 0.94%; Support Services: 0.50%</t>
        </is>
      </c>
    </row>
    <row r="5">
      <c r="A5" t="inlineStr">
        <is>
          <t>WA adjustment factor</t>
        </is>
      </c>
      <c r="B5" t="inlineStr">
        <is>
          <t>JSA projections Table 4 (WA vs AUS 10-yr growth)</t>
        </is>
      </c>
      <c r="C5" s="3" t="inlineStr">
        <is>
          <t>REAL</t>
        </is>
      </c>
      <c r="D5" t="inlineStr">
        <is>
          <t>1.0003</t>
        </is>
      </c>
    </row>
    <row r="6">
      <c r="A6" t="inlineStr">
        <is>
          <t>Demand uplift (Growth scenario)</t>
        </is>
      </c>
      <c r="B6" t="inlineStr">
        <is>
          <t>Service expansion; bounded by ABS HCSA filled-jobs 5-yr CAGR 5.6%</t>
        </is>
      </c>
      <c r="C6" s="5" t="inlineStr">
        <is>
          <t>ILLUSTRATIVE</t>
        </is>
      </c>
      <c r="D6" t="inlineStr">
        <is>
          <t>+2.0pp clinical, +0.5pp non-clinical</t>
        </is>
      </c>
    </row>
    <row r="7">
      <c r="A7" t="inlineStr">
        <is>
          <t>Attrition rate</t>
        </is>
      </c>
      <c r="B7" t="inlineStr">
        <is>
          <t>KHS FY2025-26 cell rates, credibility-weighted (K=60) to family rate</t>
        </is>
      </c>
      <c r="C7" s="4" t="inlineStr">
        <is>
          <t>SYNTHETIC (measured)</t>
        </is>
      </c>
      <c r="D7" t="inlineStr">
        <is>
          <t>org avg 14.5%</t>
        </is>
      </c>
    </row>
    <row r="8">
      <c r="A8" t="inlineStr">
        <is>
          <t>Attrition multiplier (Constraint)</t>
        </is>
      </c>
      <c r="B8" t="inlineStr">
        <is>
          <t>KHS FY2023 (tight market) / FY2026 turnover</t>
        </is>
      </c>
      <c r="C8" s="4" t="inlineStr">
        <is>
          <t>SYNTHETIC (measured)</t>
        </is>
      </c>
      <c r="D8" t="inlineStr">
        <is>
          <t>1.224</t>
        </is>
      </c>
    </row>
    <row r="9">
      <c r="A9" t="inlineStr">
        <is>
          <t>Recruitment capacity</t>
        </is>
      </c>
      <c r="B9" t="inlineStr">
        <is>
          <t>Best annual external hires FY2023-26 per cell (demonstrated throughput)</t>
        </is>
      </c>
      <c r="C9" s="4" t="inlineStr">
        <is>
          <t>SYNTHETIC (measured)</t>
        </is>
      </c>
      <c r="D9" t="inlineStr">
        <is>
          <t>478 hires/yr</t>
        </is>
      </c>
    </row>
    <row r="10">
      <c r="A10" t="inlineStr">
        <is>
          <t>Capacity multiplier (Constraint, shortage occupations)</t>
        </is>
      </c>
      <c r="B10" t="inlineStr">
        <is>
          <t>JSA OSL 2026 fill rate shortage/no-shortage 57%/78%</t>
        </is>
      </c>
      <c r="C10" s="3" t="inlineStr">
        <is>
          <t>REAL</t>
        </is>
      </c>
      <c r="D10" t="inlineStr">
        <is>
          <t>0.731</t>
        </is>
      </c>
    </row>
    <row r="11">
      <c r="A11" t="inlineStr">
        <is>
          <t>Graduate RN intake</t>
        </is>
      </c>
      <c r="B11" t="inlineStr">
        <is>
          <t>KHS average FY2023-26</t>
        </is>
      </c>
      <c r="C11" s="4" t="inlineStr">
        <is>
          <t>SYNTHETIC (measured)</t>
        </is>
      </c>
      <c r="D11" t="inlineStr">
        <is>
          <t>16/yr; Constraint x0.75 (illustrative)</t>
        </is>
      </c>
    </row>
    <row r="12">
      <c r="A12" t="inlineStr">
        <is>
          <t>EN-&gt;RN conversion</t>
        </is>
      </c>
      <c r="B12" t="inlineStr">
        <is>
          <t>KHS role changes / EN headcount</t>
        </is>
      </c>
      <c r="C12" s="4" t="inlineStr">
        <is>
          <t>SYNTHETIC (measured)</t>
        </is>
      </c>
      <c r="D12" t="inlineStr">
        <is>
          <t>5.51%/yr</t>
        </is>
      </c>
    </row>
    <row r="13">
      <c r="A13" t="inlineStr">
        <is>
          <t>Wage growth</t>
        </is>
      </c>
      <c r="B13" t="inlineStr">
        <is>
          <t>ABS WPI HCSA YoY, average of last 8 quarters</t>
        </is>
      </c>
      <c r="C13" s="3" t="inlineStr">
        <is>
          <t>REAL</t>
        </is>
      </c>
      <c r="D13" t="inlineStr">
        <is>
          <t>3.71%/yr; Constraint +1pp (illustrative)</t>
        </is>
      </c>
    </row>
    <row r="14">
      <c r="A14" t="inlineStr">
        <is>
          <t>On-cost factor</t>
        </is>
      </c>
      <c r="B14" t="inlineStr">
        <is>
          <t>12% super guarantee (legislated) + payroll tax/workers comp/leave (assumed)</t>
        </is>
      </c>
      <c r="C14" s="5" t="inlineStr">
        <is>
          <t>ILLUSTRATIVE</t>
        </is>
      </c>
      <c r="D14" t="inlineStr">
        <is>
          <t>1.25</t>
        </is>
      </c>
    </row>
    <row r="15">
      <c r="A15" t="inlineStr">
        <is>
          <t>Agency premium</t>
        </is>
      </c>
      <c r="B15" t="inlineStr">
        <is>
          <t>Assumed agency cost per hour vs employee cost</t>
        </is>
      </c>
      <c r="C15" s="5" t="inlineStr">
        <is>
          <t>ILLUSTRATIVE</t>
        </is>
      </c>
      <c r="D15" t="inlineStr">
        <is>
          <t>1.65</t>
        </is>
      </c>
    </row>
    <row r="16">
      <c r="A16" t="inlineStr">
        <is>
          <t>Agency cover of shortage</t>
        </is>
      </c>
      <c r="B16" t="inlineStr">
        <is>
          <t>KHS FY2026 agency FTE / vacant FTE by family</t>
        </is>
      </c>
      <c r="C16" s="4" t="inlineStr">
        <is>
          <t>SYNTHETIC (measured)</t>
        </is>
      </c>
      <c r="D16" t="inlineStr">
        <is>
          <t>Administration: 0.10; Allied Health: 0.30; Care Worker: 0.46; Enrolled Nurse: 0.40; Medical Practitioner: 0.63; Midwife: 0.57; Registered Nurse: 0.55; Support Services: 0.25</t>
        </is>
      </c>
    </row>
    <row r="17">
      <c r="A17" t="inlineStr">
        <is>
          <t>Cost per hire</t>
        </is>
      </c>
      <c r="B17" t="inlineStr">
        <is>
          <t>Assumed</t>
        </is>
      </c>
      <c r="C17" s="5" t="inlineStr">
        <is>
          <t>ILLUSTRATIVE</t>
        </is>
      </c>
      <c r="D17" t="inlineStr">
        <is>
          <t>metro $6,000, regional $14,000</t>
        </is>
      </c>
    </row>
    <row r="18">
      <c r="A18" t="inlineStr">
        <is>
          <t>Productivity</t>
        </is>
      </c>
      <c r="B18" t="inlineStr">
        <is>
          <t>No productivity change assumed (tested via FTE-per-head sensitivity)</t>
        </is>
      </c>
      <c r="C18" s="5" t="inlineStr">
        <is>
          <t>ILLUSTRATIVE</t>
        </is>
      </c>
      <c r="D18" t="inlineStr">
        <is>
          <t>0%</t>
        </is>
      </c>
    </row>
    <row r="19">
      <c r="A19" t="inlineStr">
        <is>
          <t>Intervention effects and costs</t>
        </is>
      </c>
      <c r="B19" t="inlineStr">
        <is>
          <t>Assumed programme effects for option testing</t>
        </is>
      </c>
      <c r="C19" s="5" t="inlineStr">
        <is>
          <t>ILLUSTRATIVE</t>
        </is>
      </c>
      <c r="D19" t="inlineStr">
        <is>
          <t>M1 Retention programme (clinical attrition -15%): $1,950,000/yr; M2 Regional recruitment uplift (+30% capacity): $260,000/yr; M3 Grow-your-own (EN-&gt;RN 2x, +12 graduates): $480,000/yr; M4 Agency panel (premium 1.65 -&gt; 1.45): $60,000/yr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Python engine reference values (family level) - Summary sheet should match for the selected scenario</t>
        </is>
      </c>
    </row>
    <row r="3">
      <c r="A3" s="7" t="inlineStr">
        <is>
          <t>scenario</t>
        </is>
      </c>
      <c r="B3" s="7" t="inlineStr">
        <is>
          <t>year</t>
        </is>
      </c>
      <c r="C3" s="7" t="inlineStr">
        <is>
          <t>Demand FTE</t>
        </is>
      </c>
      <c r="D3" s="7" t="inlineStr">
        <is>
          <t>Supply FTE</t>
        </is>
      </c>
      <c r="E3" s="7" t="inlineStr">
        <is>
          <t>Gap FTE</t>
        </is>
      </c>
      <c r="F3" s="7" t="inlineStr">
        <is>
          <t>Hires</t>
        </is>
      </c>
      <c r="G3" s="7" t="inlineStr">
        <is>
          <t>Agency cost</t>
        </is>
      </c>
      <c r="H3" s="7" t="inlineStr">
        <is>
          <t>Total cost</t>
        </is>
      </c>
    </row>
    <row r="4">
      <c r="A4" s="27" t="inlineStr">
        <is>
          <t>A Baseline</t>
        </is>
      </c>
      <c r="B4" s="27" t="inlineStr">
        <is>
          <t>FY2027</t>
        </is>
      </c>
      <c r="C4" s="27" t="n">
        <v>1735.476262081393</v>
      </c>
      <c r="D4" s="27" t="n">
        <v>1713.103404200831</v>
      </c>
      <c r="E4" s="27" t="n">
        <v>22.37285788056187</v>
      </c>
      <c r="F4" s="27" t="n">
        <v>378.8677751321193</v>
      </c>
      <c r="G4" s="27" t="n">
        <v>3788336.093148879</v>
      </c>
      <c r="H4" s="27" t="n">
        <v>253884826.9974421</v>
      </c>
    </row>
    <row r="5">
      <c r="A5" s="27" t="inlineStr">
        <is>
          <t>A Baseline</t>
        </is>
      </c>
      <c r="B5" s="27" t="inlineStr">
        <is>
          <t>FY2028</t>
        </is>
      </c>
      <c r="C5" s="27" t="n">
        <v>1769.918887830997</v>
      </c>
      <c r="D5" s="27" t="n">
        <v>1760.969553563112</v>
      </c>
      <c r="E5" s="27" t="n">
        <v>8.949334267885291</v>
      </c>
      <c r="F5" s="27" t="n">
        <v>349.9306425468002</v>
      </c>
      <c r="G5" s="27" t="n">
        <v>2698347.750648971</v>
      </c>
      <c r="H5" s="27" t="n">
        <v>271451265.2367628</v>
      </c>
    </row>
    <row r="6">
      <c r="A6" s="27" t="inlineStr">
        <is>
          <t>A Baseline</t>
        </is>
      </c>
      <c r="B6" s="27" t="inlineStr">
        <is>
          <t>FY2029</t>
        </is>
      </c>
      <c r="C6" s="27" t="n">
        <v>1805.146529413173</v>
      </c>
      <c r="D6" s="27" t="n">
        <v>1797.051689273282</v>
      </c>
      <c r="E6" s="27" t="n">
        <v>8.094840139890778</v>
      </c>
      <c r="F6" s="27" t="n">
        <v>344.1007425410269</v>
      </c>
      <c r="G6" s="27" t="n">
        <v>2531256.174023979</v>
      </c>
      <c r="H6" s="27" t="n">
        <v>288379470.6689644</v>
      </c>
    </row>
    <row r="7">
      <c r="A7" s="27" t="inlineStr">
        <is>
          <t>B Growth</t>
        </is>
      </c>
      <c r="B7" s="27" t="inlineStr">
        <is>
          <t>FY2027</t>
        </is>
      </c>
      <c r="C7" s="27" t="n">
        <v>1763.581262081393</v>
      </c>
      <c r="D7" s="27" t="n">
        <v>1729.608404200831</v>
      </c>
      <c r="E7" s="27" t="n">
        <v>33.97285788056195</v>
      </c>
      <c r="F7" s="27" t="n">
        <v>399.0107870181465</v>
      </c>
      <c r="G7" s="27" t="n">
        <v>5113035.486850668</v>
      </c>
      <c r="H7" s="27" t="n">
        <v>256605222.4483783</v>
      </c>
    </row>
    <row r="8">
      <c r="A8" s="27" t="inlineStr">
        <is>
          <t>B Growth</t>
        </is>
      </c>
      <c r="B8" s="27" t="inlineStr">
        <is>
          <t>FY2028</t>
        </is>
      </c>
      <c r="C8" s="27" t="n">
        <v>1827.91888062907</v>
      </c>
      <c r="D8" s="27" t="n">
        <v>1802.812938604731</v>
      </c>
      <c r="E8" s="27" t="n">
        <v>25.10594202433913</v>
      </c>
      <c r="F8" s="27" t="n">
        <v>383.927902602493</v>
      </c>
      <c r="G8" s="27" t="n">
        <v>5057920.856514217</v>
      </c>
      <c r="H8" s="27" t="n">
        <v>278433317.8675786</v>
      </c>
    </row>
    <row r="9">
      <c r="A9" s="27" t="inlineStr">
        <is>
          <t>B Growth</t>
        </is>
      </c>
      <c r="B9" s="27" t="inlineStr">
        <is>
          <t>FY2029</t>
        </is>
      </c>
      <c r="C9" s="27" t="n">
        <v>1894.923948948557</v>
      </c>
      <c r="D9" s="27" t="n">
        <v>1870.441534051517</v>
      </c>
      <c r="E9" s="27" t="n">
        <v>24.48241489703978</v>
      </c>
      <c r="F9" s="27" t="n">
        <v>390.9514717393742</v>
      </c>
      <c r="G9" s="27" t="n">
        <v>5776685.617784451</v>
      </c>
      <c r="H9" s="27" t="n">
        <v>300663514.5853971</v>
      </c>
    </row>
    <row r="10">
      <c r="A10" s="27" t="inlineStr">
        <is>
          <t>C Constraint</t>
        </is>
      </c>
      <c r="B10" s="27" t="inlineStr">
        <is>
          <t>FY2027</t>
        </is>
      </c>
      <c r="C10" s="27" t="n">
        <v>1735.476262081393</v>
      </c>
      <c r="D10" s="27" t="n">
        <v>1647.838968968555</v>
      </c>
      <c r="E10" s="27" t="n">
        <v>87.63729311283846</v>
      </c>
      <c r="F10" s="27" t="n">
        <v>362.6462722265646</v>
      </c>
      <c r="G10" s="27" t="n">
        <v>9665787.695302919</v>
      </c>
      <c r="H10" s="27" t="n">
        <v>257240496.0844678</v>
      </c>
    </row>
    <row r="11">
      <c r="A11" s="27" t="inlineStr">
        <is>
          <t>C Constraint</t>
        </is>
      </c>
      <c r="B11" s="27" t="inlineStr">
        <is>
          <t>FY2028</t>
        </is>
      </c>
      <c r="C11" s="27" t="n">
        <v>1769.918887830997</v>
      </c>
      <c r="D11" s="27" t="n">
        <v>1655.588818370211</v>
      </c>
      <c r="E11" s="27" t="n">
        <v>114.330069460786</v>
      </c>
      <c r="F11" s="27" t="n">
        <v>348.2055475727933</v>
      </c>
      <c r="G11" s="27" t="n">
        <v>13749664.98333049</v>
      </c>
      <c r="H11" s="27" t="n">
        <v>274245403.9358377</v>
      </c>
    </row>
    <row r="12">
      <c r="A12" s="27" t="inlineStr">
        <is>
          <t>C Constraint</t>
        </is>
      </c>
      <c r="B12" s="27" t="inlineStr">
        <is>
          <t>FY2029</t>
        </is>
      </c>
      <c r="C12" s="27" t="n">
        <v>1805.146529413173</v>
      </c>
      <c r="D12" s="27" t="n">
        <v>1661.866138864743</v>
      </c>
      <c r="E12" s="27" t="n">
        <v>143.2803905484299</v>
      </c>
      <c r="F12" s="27" t="n">
        <v>345.9433963193387</v>
      </c>
      <c r="G12" s="27" t="n">
        <v>18191775.8855126</v>
      </c>
      <c r="H12" s="27" t="n">
        <v>291756220.6044194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2026-10-22T14:07:20Z</dcterms:created>
  <dcterms:modified xsi:type="dcterms:W3CDTF">2026-10-22T14:07:20Z</dcterms:modified>
</cp:coreProperties>
</file>